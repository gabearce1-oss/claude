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Matrix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Priority Action Queue" sheetId="3" state="visible" r:id="rId3"/>
    <sheet xmlns:r="http://schemas.openxmlformats.org/officeDocument/2006/relationships" name="Quarantine Register" sheetId="4" state="visible" r:id="rId4"/>
    <sheet xmlns:r="http://schemas.openxmlformats.org/officeDocument/2006/relationships" name="Nine Pipes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6500"/>
      <sz val="10"/>
    </font>
    <font>
      <name val="Calibri"/>
      <b val="1"/>
      <color rgb="00276221"/>
      <sz val="14"/>
    </font>
    <font>
      <name val="Calibri"/>
      <b val="1"/>
      <color rgb="009C6500"/>
      <sz val="14"/>
    </font>
    <font>
      <name val="Calibri"/>
      <b val="1"/>
      <color rgb="009C0006"/>
      <sz val="14"/>
    </font>
    <font>
      <name val="Calibri"/>
      <b val="1"/>
      <color rgb="009C0006"/>
      <sz val="13"/>
    </font>
    <font>
      <name val="Calibri"/>
      <color rgb="009C0006"/>
      <sz val="10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EB9C"/>
      </patternFill>
    </fill>
    <fill>
      <patternFill patternType="solid">
        <fgColor rgb="00833C00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D4A017"/>
      </patternFill>
    </fill>
    <fill>
      <patternFill patternType="solid">
        <fgColor rgb="000070C0"/>
      </patternFill>
    </fill>
    <fill>
      <patternFill patternType="solid">
        <fgColor rgb="00808080"/>
      </patternFill>
    </fill>
    <fill>
      <patternFill patternType="solid">
        <fgColor rgb="00404040"/>
      </patternFill>
    </fill>
    <fill>
      <patternFill patternType="solid">
        <fgColor rgb="00276221"/>
      </patternFill>
    </fill>
    <fill>
      <patternFill patternType="solid">
        <fgColor rgb="009C6500"/>
      </patternFill>
    </fill>
    <fill>
      <patternFill patternType="solid">
        <fgColor rgb="009C0006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" fontId="5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indent="1"/>
    </xf>
    <xf numFmtId="0" fontId="4" fillId="6" borderId="0" applyAlignment="1" pivotButton="0" quotePrefix="0" xfId="0">
      <alignment horizontal="left" vertical="center" indent="1"/>
    </xf>
    <xf numFmtId="0" fontId="4" fillId="7" borderId="0" applyAlignment="1" pivotButton="0" quotePrefix="0" xfId="0">
      <alignment horizontal="left" vertical="center" indent="1"/>
    </xf>
    <xf numFmtId="0" fontId="4" fillId="8" borderId="0" applyAlignment="1" pivotButton="0" quotePrefix="0" xfId="0">
      <alignment horizontal="left" vertical="center" indent="1"/>
    </xf>
    <xf numFmtId="0" fontId="4" fillId="9" borderId="0" applyAlignment="1" pivotButton="0" quotePrefix="0" xfId="0">
      <alignment horizontal="left" vertical="center" indent="1"/>
    </xf>
    <xf numFmtId="0" fontId="4" fillId="10" borderId="0" applyAlignment="1" pivotButton="0" quotePrefix="0" xfId="0">
      <alignment horizontal="left" vertical="center" indent="1"/>
    </xf>
    <xf numFmtId="0" fontId="4" fillId="11" borderId="0" applyAlignment="1" pivotButton="0" quotePrefix="0" xfId="0">
      <alignment horizontal="left" vertical="center" indent="1"/>
    </xf>
    <xf numFmtId="0" fontId="4" fillId="12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center" vertical="center"/>
    </xf>
    <xf numFmtId="0" fontId="3" fillId="13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center" vertical="center"/>
    </xf>
    <xf numFmtId="0" fontId="3" fillId="14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center" vertical="center"/>
    </xf>
    <xf numFmtId="0" fontId="3" fillId="15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/>
    </xf>
    <xf numFmtId="0" fontId="3" fillId="15" borderId="1" applyAlignment="1" pivotButton="0" quotePrefix="0" xfId="0">
      <alignment horizontal="center" vertical="center" wrapText="1"/>
    </xf>
    <xf numFmtId="0" fontId="11" fillId="16" borderId="1" applyAlignment="1" pivotButton="0" quotePrefix="0" xfId="0">
      <alignment horizontal="center" vertical="center" wrapText="1"/>
    </xf>
    <xf numFmtId="0" fontId="11" fillId="16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Claims by Pipe — Green / Orange / Red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'Dashboard'!$B$16:$B$25</f>
            </numRef>
          </cat>
          <val>
            <numRef>
              <f>'Dashboard'!$C$16:$C$25</f>
            </numRef>
          </val>
        </ser>
        <ser>
          <idx val="1"/>
          <order val="1"/>
          <tx>
            <strRef>
              <f>'Dashboard'!D15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'Dashboard'!$B$16:$B$25</f>
            </numRef>
          </cat>
          <val>
            <numRef>
              <f>'Dashboard'!$D$16:$D$25</f>
            </numRef>
          </val>
        </ser>
        <ser>
          <idx val="2"/>
          <order val="2"/>
          <tx>
            <strRef>
              <f>'Dashboard'!E15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'Dashboard'!$B$16:$B$25</f>
            </numRef>
          </cat>
          <val>
            <numRef>
              <f>'Dashboard'!$E$16:$E$25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27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8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20" customWidth="1" min="3" max="3"/>
    <col width="60" customWidth="1" min="4" max="4"/>
    <col width="18" customWidth="1" min="5" max="5"/>
    <col width="14" customWidth="1" min="6" max="6"/>
    <col width="10" customWidth="1" min="7" max="7"/>
    <col width="12" customWidth="1" min="8" max="8"/>
    <col width="8" customWidth="1" min="9" max="9"/>
    <col width="15" customWidth="1" min="10" max="10"/>
    <col width="12" customWidth="1" min="11" max="11"/>
    <col width="55" customWidth="1" min="12" max="12"/>
    <col width="45" customWidth="1" min="13" max="13"/>
  </cols>
  <sheetData>
    <row r="1" ht="8" customHeight="1"/>
    <row r="2" ht="28" customHeight="1">
      <c r="B2" s="1" t="inlineStr">
        <is>
          <t>TE360 TERMINEL–SAGASTA MASTER EVIDENCE MATRIX — v2.0</t>
        </is>
      </c>
    </row>
    <row r="3" ht="18" customHeight="1">
      <c r="B3" s="2" t="inlineStr">
        <is>
          <t>Nine-Pipe Architecture | 80 Claims | Generated May 20, 2026 | Aviana &amp; Nela Terminel-Sagasta / Yaqui RPA</t>
        </is>
      </c>
    </row>
    <row r="5" ht="36" customHeight="1">
      <c r="B5" s="3" t="inlineStr">
        <is>
          <t>Claim ID</t>
        </is>
      </c>
      <c r="C5" s="3" t="inlineStr">
        <is>
          <t>Pipe</t>
        </is>
      </c>
      <c r="D5" s="3" t="inlineStr">
        <is>
          <t>Claim Text</t>
        </is>
      </c>
      <c r="E5" s="3" t="inlineStr">
        <is>
          <t>Date Range</t>
        </is>
      </c>
      <c r="F5" s="3" t="inlineStr">
        <is>
          <t>Status</t>
        </is>
      </c>
      <c r="G5" s="3" t="inlineStr">
        <is>
          <t>Confidence
(0–10)</t>
        </is>
      </c>
      <c r="H5" s="3" t="inlineStr">
        <is>
          <t>Color</t>
        </is>
      </c>
      <c r="I5" s="3" t="inlineStr">
        <is>
          <t>Link Type</t>
        </is>
      </c>
      <c r="J5" s="3" t="inlineStr">
        <is>
          <t>Risk
Score</t>
        </is>
      </c>
      <c r="K5" s="3" t="inlineStr">
        <is>
          <t>Contamination
Score</t>
        </is>
      </c>
      <c r="L5" s="3" t="inlineStr">
        <is>
          <t>Review Status</t>
        </is>
      </c>
      <c r="M5" s="3" t="inlineStr">
        <is>
          <t>Burden of Proof / Next Action</t>
        </is>
      </c>
      <c r="N5" s="3" t="inlineStr">
        <is>
          <t>Archive Target</t>
        </is>
      </c>
    </row>
    <row r="6" ht="22" customHeight="1">
      <c r="B6" s="4" t="inlineStr">
        <is>
          <t xml:space="preserve">  PIPE 1 — GEOGRAPHIC/MINING</t>
        </is>
      </c>
    </row>
    <row r="7" ht="48" customHeight="1">
      <c r="B7" s="5" t="inlineStr">
        <is>
          <t>GEO-002</t>
        </is>
      </c>
      <c r="C7" s="6" t="inlineStr">
        <is>
          <t>Pipe 1 — Geographic/Mining</t>
        </is>
      </c>
      <c r="D7" s="6" t="inlineStr">
        <is>
          <t>San Javier distance from Hermosillo ~146 km east; located in Sonora River watershed</t>
        </is>
      </c>
      <c r="E7" s="6" t="inlineStr">
        <is>
          <t>Historical-ongoing</t>
        </is>
      </c>
      <c r="F7" s="7" t="inlineStr">
        <is>
          <t>VERIFIED</t>
        </is>
      </c>
      <c r="G7" s="8" t="n">
        <v>10</v>
      </c>
      <c r="H7" s="6" t="inlineStr">
        <is>
          <t>GREEN</t>
        </is>
      </c>
      <c r="I7" s="7" t="inlineStr">
        <is>
          <t>Support (verified)</t>
        </is>
      </c>
      <c r="J7" s="7" t="n">
        <v>0</v>
      </c>
      <c r="K7" s="6" t="n">
        <v>0</v>
      </c>
      <c r="L7" s="6" t="inlineStr">
        <is>
          <t>triaged</t>
        </is>
      </c>
      <c r="M7" s="6" t="inlineStr">
        <is>
          <t>Met — verified</t>
        </is>
      </c>
      <c r="N7" s="6" t="inlineStr">
        <is>
          <t>INEGI</t>
        </is>
      </c>
    </row>
    <row r="8" ht="48" customHeight="1">
      <c r="B8" s="5" t="inlineStr">
        <is>
          <t>GEO-003</t>
        </is>
      </c>
      <c r="C8" s="6" t="inlineStr">
        <is>
          <t>Pipe 1 — Geographic/Mining</t>
        </is>
      </c>
      <c r="D8" s="6" t="inlineStr">
        <is>
          <t>San Javier civil records 1930–1934 split across multiple registries (Hermosillo, Villa Pesqueira, La Colorada)</t>
        </is>
      </c>
      <c r="E8" s="6" t="inlineStr">
        <is>
          <t>1930–1934</t>
        </is>
      </c>
      <c r="F8" s="7" t="inlineStr">
        <is>
          <t>VERIFIED</t>
        </is>
      </c>
      <c r="G8" s="8" t="n">
        <v>9</v>
      </c>
      <c r="H8" s="6" t="inlineStr">
        <is>
          <t>GREEN</t>
        </is>
      </c>
      <c r="I8" s="7" t="inlineStr">
        <is>
          <t>Support (verified)</t>
        </is>
      </c>
      <c r="J8" s="7" t="n">
        <v>1</v>
      </c>
      <c r="K8" s="6" t="n">
        <v>0</v>
      </c>
      <c r="L8" s="6" t="inlineStr">
        <is>
          <t>triaged</t>
        </is>
      </c>
      <c r="M8" s="6" t="inlineStr">
        <is>
          <t>Met — verified</t>
        </is>
      </c>
      <c r="N8" s="6" t="inlineStr">
        <is>
          <t>AHES / State Law</t>
        </is>
      </c>
    </row>
    <row r="9" ht="48" customHeight="1">
      <c r="B9" s="5" t="inlineStr">
        <is>
          <t>MIN-001</t>
        </is>
      </c>
      <c r="C9" s="6" t="inlineStr">
        <is>
          <t>Pipe 1 — Geographic/Mining</t>
        </is>
      </c>
      <c r="D9" s="6" t="inlineStr">
        <is>
          <t>San Javier has continuous silver-gold mining history from 1706 to present; silver 133–1,240 g/ton; gold 0.41–7.07 g/ton</t>
        </is>
      </c>
      <c r="E9" s="6" t="inlineStr">
        <is>
          <t>2006 (historical context 1706–present)</t>
        </is>
      </c>
      <c r="F9" s="7" t="inlineStr">
        <is>
          <t>VERIFIED</t>
        </is>
      </c>
      <c r="G9" s="8" t="n">
        <v>10</v>
      </c>
      <c r="H9" s="6" t="inlineStr">
        <is>
          <t>GREEN</t>
        </is>
      </c>
      <c r="I9" s="7" t="inlineStr">
        <is>
          <t>Support (verified)</t>
        </is>
      </c>
      <c r="J9" s="7" t="n">
        <v>0</v>
      </c>
      <c r="K9" s="6" t="n">
        <v>0</v>
      </c>
      <c r="L9" s="6" t="inlineStr">
        <is>
          <t>triaged</t>
        </is>
      </c>
      <c r="M9" s="6" t="inlineStr">
        <is>
          <t>Met — verified by SGM federal document</t>
        </is>
      </c>
      <c r="N9" s="6" t="inlineStr">
        <is>
          <t>SGM 2006</t>
        </is>
      </c>
    </row>
    <row r="10" ht="48" customHeight="1">
      <c r="B10" s="5" t="inlineStr">
        <is>
          <t>MIN-002</t>
        </is>
      </c>
      <c r="C10" s="6" t="inlineStr">
        <is>
          <t>Pipe 1 — Geographic/Mining</t>
        </is>
      </c>
      <c r="D10" s="6" t="inlineStr">
        <is>
          <t>Mine Las Goteras (#16 in SGM inventory) has active concession held by Luis Porchas; located 6.74 km SE of San Javier parish church</t>
        </is>
      </c>
      <c r="E10" s="6" t="inlineStr">
        <is>
          <t>2006</t>
        </is>
      </c>
      <c r="F10" s="7" t="inlineStr">
        <is>
          <t>VERIFIED</t>
        </is>
      </c>
      <c r="G10" s="8" t="n">
        <v>10</v>
      </c>
      <c r="H10" s="6" t="inlineStr">
        <is>
          <t>GREEN</t>
        </is>
      </c>
      <c r="I10" s="7" t="inlineStr">
        <is>
          <t>Support (verified)</t>
        </is>
      </c>
      <c r="J10" s="7" t="n">
        <v>0</v>
      </c>
      <c r="K10" s="6" t="n">
        <v>0</v>
      </c>
      <c r="L10" s="6" t="inlineStr">
        <is>
          <t>triaged</t>
        </is>
      </c>
      <c r="M10" s="6" t="inlineStr">
        <is>
          <t>Met — verified by SGM federal document</t>
        </is>
      </c>
      <c r="N10" s="6" t="inlineStr">
        <is>
          <t>SGM 2006</t>
        </is>
      </c>
    </row>
    <row r="11" ht="48" customHeight="1">
      <c r="B11" s="5" t="inlineStr">
        <is>
          <t>MIN-003</t>
        </is>
      </c>
      <c r="C11" s="6" t="inlineStr">
        <is>
          <t>Pipe 1 — Geographic/Mining</t>
        </is>
      </c>
      <c r="D11" s="6" t="inlineStr">
        <is>
          <t>28 of 32 San Javier mines listed under Ejido San Javier tenure — virtually all mining land expropriated post-Revolution</t>
        </is>
      </c>
      <c r="E11" s="6" t="inlineStr">
        <is>
          <t>2006</t>
        </is>
      </c>
      <c r="F11" s="7" t="inlineStr">
        <is>
          <t>VERIFIED</t>
        </is>
      </c>
      <c r="G11" s="8" t="n">
        <v>10</v>
      </c>
      <c r="H11" s="6" t="inlineStr">
        <is>
          <t>GREEN</t>
        </is>
      </c>
      <c r="I11" s="7" t="inlineStr">
        <is>
          <t>Support (verified)</t>
        </is>
      </c>
      <c r="J11" s="7" t="n">
        <v>0</v>
      </c>
      <c r="K11" s="6" t="n">
        <v>0</v>
      </c>
      <c r="L11" s="6" t="inlineStr">
        <is>
          <t>triaged</t>
        </is>
      </c>
      <c r="M11" s="6" t="inlineStr">
        <is>
          <t>Met — verified by SGM federal document</t>
        </is>
      </c>
      <c r="N11" s="6" t="inlineStr">
        <is>
          <t>SGM 2006</t>
        </is>
      </c>
    </row>
    <row r="12" ht="22" customHeight="1">
      <c r="B12" s="9" t="inlineStr">
        <is>
          <t xml:space="preserve">  PIPE 2 — POLITICAL</t>
        </is>
      </c>
    </row>
    <row r="13" ht="48" customHeight="1">
      <c r="B13" s="5" t="inlineStr">
        <is>
          <t>POL-002</t>
        </is>
      </c>
      <c r="C13" s="6" t="inlineStr">
        <is>
          <t>Pipe 2 — Political</t>
        </is>
      </c>
      <c r="D13" s="6" t="inlineStr">
        <is>
          <t>Five desaforados December 14, 1935: Manuel Riva Palacio, Francisco Terminel, Bernardo Bandala, Eliseo Pérez Gómez, Cristóbal Bon Bustamante</t>
        </is>
      </c>
      <c r="E13" s="6" t="inlineStr">
        <is>
          <t>December 1935</t>
        </is>
      </c>
      <c r="F13" s="7" t="inlineStr">
        <is>
          <t>VERIFIED</t>
        </is>
      </c>
      <c r="G13" s="8" t="n">
        <v>9</v>
      </c>
      <c r="H13" s="6" t="inlineStr">
        <is>
          <t>GREEN</t>
        </is>
      </c>
      <c r="I13" s="7" t="inlineStr">
        <is>
          <t>Support (verified)</t>
        </is>
      </c>
      <c r="J13" s="7" t="n">
        <v>1</v>
      </c>
      <c r="K13" s="6" t="n">
        <v>0</v>
      </c>
      <c r="L13" s="6" t="inlineStr">
        <is>
          <t>triaged</t>
        </is>
      </c>
      <c r="M13" s="6" t="inlineStr">
        <is>
          <t>Met — verified</t>
        </is>
      </c>
      <c r="N13" s="6" t="inlineStr">
        <is>
          <t>FAPECFT / INEHRM</t>
        </is>
      </c>
    </row>
    <row r="14" ht="48" customHeight="1">
      <c r="B14" s="5" t="inlineStr">
        <is>
          <t>POL-003</t>
        </is>
      </c>
      <c r="C14" s="6" t="inlineStr">
        <is>
          <t>Pipe 2 — Political</t>
        </is>
      </c>
      <c r="D14" s="6" t="inlineStr">
        <is>
          <t>Terminel appears as 'Verminel' in some telegrams — documented telegraphic transmission error</t>
        </is>
      </c>
      <c r="E14" s="6" t="inlineStr">
        <is>
          <t>December 1935</t>
        </is>
      </c>
      <c r="F14" s="7" t="inlineStr">
        <is>
          <t>VERIFIED</t>
        </is>
      </c>
      <c r="G14" s="8" t="n">
        <v>9</v>
      </c>
      <c r="H14" s="6" t="inlineStr">
        <is>
          <t>GREEN</t>
        </is>
      </c>
      <c r="I14" s="7" t="inlineStr">
        <is>
          <t>Support (verified)</t>
        </is>
      </c>
      <c r="J14" s="7" t="n">
        <v>1</v>
      </c>
      <c r="K14" s="6" t="n">
        <v>0</v>
      </c>
      <c r="L14" s="6" t="inlineStr">
        <is>
          <t>triaged</t>
        </is>
      </c>
      <c r="M14" s="6" t="inlineStr">
        <is>
          <t>Met — verified by UNAM-IIS</t>
        </is>
      </c>
      <c r="N14" s="6" t="inlineStr">
        <is>
          <t>UNAM-IIS / FAPECFT / HNDM</t>
        </is>
      </c>
    </row>
    <row r="15" ht="22" customHeight="1">
      <c r="B15" s="10" t="inlineStr">
        <is>
          <t xml:space="preserve">  PIPE 3 — LAND/PROPERTY</t>
        </is>
      </c>
    </row>
    <row r="16" ht="48" customHeight="1">
      <c r="B16" s="5" t="inlineStr">
        <is>
          <t>LAND-002</t>
        </is>
      </c>
      <c r="C16" s="6" t="inlineStr">
        <is>
          <t>Pipe 3 — Land/Property</t>
        </is>
      </c>
      <c r="D16" s="6" t="inlineStr">
        <is>
          <t>Francisco Terminel owned water rights, dams, and bridges in San Javier — title deeds in Gabriel's private possession</t>
        </is>
      </c>
      <c r="E16" s="6" t="inlineStr">
        <is>
          <t>~1900–1938</t>
        </is>
      </c>
      <c r="F16" s="7" t="inlineStr">
        <is>
          <t>ORANGE — Partially Verified</t>
        </is>
      </c>
      <c r="G16" s="8" t="n">
        <v>5</v>
      </c>
      <c r="H16" s="6" t="inlineStr">
        <is>
          <t>ORANGE</t>
        </is>
      </c>
      <c r="I16" s="7" t="inlineStr">
        <is>
          <t>Support (partial/plausible)</t>
        </is>
      </c>
      <c r="J16" s="7" t="n">
        <v>5</v>
      </c>
      <c r="K16" s="6" t="n">
        <v>3</v>
      </c>
      <c r="L16" s="6" t="inlineStr">
        <is>
          <t>triaged</t>
        </is>
      </c>
      <c r="M16" s="6" t="inlineStr">
        <is>
          <t>AGES expediente documenting land/water dispossession</t>
        </is>
      </c>
      <c r="N16" s="6" t="inlineStr">
        <is>
          <t>AHES RPP / AGES Fomento</t>
        </is>
      </c>
    </row>
    <row r="17" ht="48" customHeight="1">
      <c r="B17" s="5" t="inlineStr">
        <is>
          <t>LAND-003</t>
        </is>
      </c>
      <c r="C17" s="6" t="inlineStr">
        <is>
          <t>Pipe 3 — Land/Property</t>
        </is>
      </c>
      <c r="D17" s="6" t="inlineStr">
        <is>
          <t>San Javier analog expediente documenting Terminel San Javier land/water dispossession likely exists in AGES</t>
        </is>
      </c>
      <c r="E17" s="6" t="inlineStr">
        <is>
          <t>~1900–1938</t>
        </is>
      </c>
      <c r="F17" s="7" t="inlineStr">
        <is>
          <t>ORANGE — Plausible, Unverified</t>
        </is>
      </c>
      <c r="G17" s="8" t="n">
        <v>6</v>
      </c>
      <c r="H17" s="6" t="inlineStr">
        <is>
          <t>ORANGE</t>
        </is>
      </c>
      <c r="I17" s="7" t="inlineStr">
        <is>
          <t>Support (partial/plausible)</t>
        </is>
      </c>
      <c r="J17" s="7" t="n">
        <v>4</v>
      </c>
      <c r="K17" s="6" t="n">
        <v>3</v>
      </c>
      <c r="L17" s="6" t="inlineStr">
        <is>
          <t>triaged</t>
        </is>
      </c>
      <c r="M17" s="6" t="inlineStr">
        <is>
          <t>AGES Ejido-Dotaciones San Javier expediente</t>
        </is>
      </c>
      <c r="N17" s="6" t="inlineStr">
        <is>
          <t>AGES Ejido-Dotaciones — San Javier</t>
        </is>
      </c>
    </row>
    <row r="18" ht="22" customHeight="1">
      <c r="B18" s="11" t="inlineStr">
        <is>
          <t xml:space="preserve">  PIPE 4 — INDIGENOUS IDENTITY</t>
        </is>
      </c>
    </row>
    <row r="19" ht="48" customHeight="1">
      <c r="B19" s="5" t="inlineStr">
        <is>
          <t>IND-002</t>
        </is>
      </c>
      <c r="C19" s="6" t="inlineStr">
        <is>
          <t>Pipe 4 — Indigenous Identity</t>
        </is>
      </c>
      <c r="D19" s="6" t="inlineStr">
        <is>
          <t>Yaqui deportations peaked 1904–1908; Yaquis adopted mestizo identities to survive — documented historical pattern</t>
        </is>
      </c>
      <c r="E19" s="6" t="inlineStr">
        <is>
          <t>1904–1908</t>
        </is>
      </c>
      <c r="F19" s="7" t="inlineStr">
        <is>
          <t>VERIFIED</t>
        </is>
      </c>
      <c r="G19" s="8" t="n">
        <v>10</v>
      </c>
      <c r="H19" s="6" t="inlineStr">
        <is>
          <t>GREEN</t>
        </is>
      </c>
      <c r="I19" s="7" t="inlineStr">
        <is>
          <t>Support (verified)</t>
        </is>
      </c>
      <c r="J19" s="7" t="n">
        <v>0</v>
      </c>
      <c r="K19" s="6" t="n">
        <v>0</v>
      </c>
      <c r="L19" s="6" t="inlineStr">
        <is>
          <t>triaged</t>
        </is>
      </c>
      <c r="M19" s="6" t="inlineStr">
        <is>
          <t>Met — independent scholarly consensus</t>
        </is>
      </c>
      <c r="N19" s="6" t="inlineStr">
        <is>
          <t>UA Special Collections — Spicer</t>
        </is>
      </c>
    </row>
    <row r="20" ht="48" customHeight="1">
      <c r="B20" s="5" t="inlineStr">
        <is>
          <t>IND-003</t>
        </is>
      </c>
      <c r="C20" s="6" t="inlineStr">
        <is>
          <t>Pipe 4 — Indigenous Identity</t>
        </is>
      </c>
      <c r="D20" s="6" t="inlineStr">
        <is>
          <t>Asset shielding through indigenous women as nominal titleholders was a documented Porfiriato-era practice</t>
        </is>
      </c>
      <c r="E20" s="6" t="inlineStr">
        <is>
          <t>Pre-colonial–1900</t>
        </is>
      </c>
      <c r="F20" s="7" t="inlineStr">
        <is>
          <t>VERIFIED</t>
        </is>
      </c>
      <c r="G20" s="8" t="n">
        <v>9</v>
      </c>
      <c r="H20" s="6" t="inlineStr">
        <is>
          <t>GREEN</t>
        </is>
      </c>
      <c r="I20" s="7" t="inlineStr">
        <is>
          <t>Support (verified)</t>
        </is>
      </c>
      <c r="J20" s="7" t="n">
        <v>1</v>
      </c>
      <c r="K20" s="6" t="n">
        <v>0</v>
      </c>
      <c r="L20" s="6" t="inlineStr">
        <is>
          <t>triaged</t>
        </is>
      </c>
      <c r="M20" s="6" t="inlineStr">
        <is>
          <t>Met — multiple peer-reviewed sources</t>
        </is>
      </c>
      <c r="N20" s="6" t="inlineStr">
        <is>
          <t>AGN Notarías / AHES RPP</t>
        </is>
      </c>
    </row>
    <row r="21" ht="48" customHeight="1">
      <c r="B21" s="5" t="inlineStr">
        <is>
          <t>DNA-001</t>
        </is>
      </c>
      <c r="C21" s="6" t="inlineStr">
        <is>
          <t>Pipe 4 — Indigenous Identity</t>
        </is>
      </c>
      <c r="D21" s="6" t="inlineStr">
        <is>
          <t>Gabriel T. Arce Jr. 23andMe results show mtDNA haplogroup B2 — consistent with Névome Pima Bajo and other NW Mexico indigenous groups</t>
        </is>
      </c>
      <c r="E21" s="6" t="inlineStr">
        <is>
          <t>Contemporary</t>
        </is>
      </c>
      <c r="F21" s="7" t="inlineStr">
        <is>
          <t>VERIFIED</t>
        </is>
      </c>
      <c r="G21" s="8" t="n">
        <v>9</v>
      </c>
      <c r="H21" s="6" t="inlineStr">
        <is>
          <t>GREEN</t>
        </is>
      </c>
      <c r="I21" s="7" t="inlineStr">
        <is>
          <t>Support (verified)</t>
        </is>
      </c>
      <c r="J21" s="7" t="n">
        <v>1</v>
      </c>
      <c r="K21" s="6" t="n">
        <v>0</v>
      </c>
      <c r="L21" s="6" t="inlineStr">
        <is>
          <t>triaged</t>
        </is>
      </c>
      <c r="M21" s="6" t="inlineStr">
        <is>
          <t>Met — scientific instrument</t>
        </is>
      </c>
      <c r="N21" s="6" t="inlineStr">
        <is>
          <t>23andMe report on file</t>
        </is>
      </c>
    </row>
    <row r="22" ht="48" customHeight="1">
      <c r="B22" s="5" t="inlineStr">
        <is>
          <t>DNA-002</t>
        </is>
      </c>
      <c r="C22" s="6" t="inlineStr">
        <is>
          <t>Pipe 4 — Indigenous Identity</t>
        </is>
      </c>
      <c r="D22" s="6" t="inlineStr">
        <is>
          <t>DNA alone cannot establish tribal affiliation or legal standing — must pair with archival genealogical chain</t>
        </is>
      </c>
      <c r="E22" s="6" t="inlineStr">
        <is>
          <t>Contemporary</t>
        </is>
      </c>
      <c r="F22" s="7" t="inlineStr">
        <is>
          <t>VERIFIED</t>
        </is>
      </c>
      <c r="G22" s="8" t="n">
        <v>10</v>
      </c>
      <c r="H22" s="6" t="inlineStr">
        <is>
          <t>GREEN</t>
        </is>
      </c>
      <c r="I22" s="7" t="inlineStr">
        <is>
          <t>Support (verified)</t>
        </is>
      </c>
      <c r="J22" s="7" t="n">
        <v>0</v>
      </c>
      <c r="K22" s="6" t="n">
        <v>0</v>
      </c>
      <c r="L22" s="6" t="inlineStr">
        <is>
          <t>triaged</t>
        </is>
      </c>
      <c r="M22" s="6" t="inlineStr">
        <is>
          <t>Met — established legal principle</t>
        </is>
      </c>
      <c r="N22" s="6" t="inlineStr">
        <is>
          <t>Legal precedent (paired with archival chain)</t>
        </is>
      </c>
    </row>
    <row r="23" ht="22" customHeight="1">
      <c r="B23" s="12" t="inlineStr">
        <is>
          <t xml:space="preserve">  PIPE 5 — GENEALOGICAL</t>
        </is>
      </c>
    </row>
    <row r="24" ht="48" customHeight="1">
      <c r="B24" s="5" t="inlineStr">
        <is>
          <t>GEN-002</t>
        </is>
      </c>
      <c r="C24" s="6" t="inlineStr">
        <is>
          <t>Pipe 5 — Genealogical</t>
        </is>
      </c>
      <c r="D24" s="6" t="inlineStr">
        <is>
          <t>Porchas family graves confirmed in San Javier municipal cemetery; no Terminel graves found</t>
        </is>
      </c>
      <c r="E24" s="6" t="inlineStr">
        <is>
          <t>1910–2012</t>
        </is>
      </c>
      <c r="F24" s="7" t="inlineStr">
        <is>
          <t>ORANGE — Partially Verified</t>
        </is>
      </c>
      <c r="G24" s="8" t="n">
        <v>6</v>
      </c>
      <c r="H24" s="6" t="inlineStr">
        <is>
          <t>ORANGE</t>
        </is>
      </c>
      <c r="I24" s="7" t="inlineStr">
        <is>
          <t>Support (partial/plausible)</t>
        </is>
      </c>
      <c r="J24" s="7" t="n">
        <v>4</v>
      </c>
      <c r="K24" s="6" t="n">
        <v>3</v>
      </c>
      <c r="L24" s="6" t="inlineStr">
        <is>
          <t>triaged</t>
        </is>
      </c>
      <c r="M24" s="6" t="inlineStr">
        <is>
          <t>Primary archival doc from named repository</t>
        </is>
      </c>
      <c r="N24" s="6" t="inlineStr">
        <is>
          <t>Panteón Municipal SJ / FindAGrave #2740823</t>
        </is>
      </c>
    </row>
    <row r="25" ht="22" customHeight="1">
      <c r="B25" s="13" t="inlineStr">
        <is>
          <t xml:space="preserve">  PIPE 6 — WELLS FARGO</t>
        </is>
      </c>
    </row>
    <row r="26" ht="48" customHeight="1">
      <c r="B26" s="5" t="inlineStr">
        <is>
          <t>WF-002</t>
        </is>
      </c>
      <c r="C26" s="6" t="inlineStr">
        <is>
          <t>Pipe 6 — Wells Fargo</t>
        </is>
      </c>
      <c r="D26" s="6" t="inlineStr">
        <is>
          <t>Wells Fargo Express had documented office in Guaymas, Sonora (Agent: A. Willard) as of 1890</t>
        </is>
      </c>
      <c r="E26" s="6" t="inlineStr">
        <is>
          <t>1890</t>
        </is>
      </c>
      <c r="F26" s="7" t="inlineStr">
        <is>
          <t>VERIFIED</t>
        </is>
      </c>
      <c r="G26" s="8" t="n">
        <v>10</v>
      </c>
      <c r="H26" s="6" t="inlineStr">
        <is>
          <t>GREEN</t>
        </is>
      </c>
      <c r="I26" s="7" t="inlineStr">
        <is>
          <t>Support (verified)</t>
        </is>
      </c>
      <c r="J26" s="7" t="n">
        <v>0</v>
      </c>
      <c r="K26" s="6" t="n">
        <v>0</v>
      </c>
      <c r="L26" s="6" t="inlineStr">
        <is>
          <t>triaged</t>
        </is>
      </c>
      <c r="M26" s="6" t="inlineStr">
        <is>
          <t>Met — 1890 WF corporate directory</t>
        </is>
      </c>
      <c r="N26" s="6" t="inlineStr">
        <is>
          <t>1890 WF directory</t>
        </is>
      </c>
    </row>
    <row r="27" ht="48" customHeight="1">
      <c r="B27" s="5" t="inlineStr">
        <is>
          <t>WF-003</t>
        </is>
      </c>
      <c r="C27" s="6" t="inlineStr">
        <is>
          <t>Pipe 6 — Wells Fargo</t>
        </is>
      </c>
      <c r="D27" s="6" t="inlineStr">
        <is>
          <t>Wells Fargo Bank (Nevada National Bank) had NO retail branches inside Mexico — Mexican banking law prohibited foreign branch banks</t>
        </is>
      </c>
      <c r="E27" s="6" t="inlineStr">
        <is>
          <t>1900–1964</t>
        </is>
      </c>
      <c r="F27" s="7" t="inlineStr">
        <is>
          <t>VERIFIED</t>
        </is>
      </c>
      <c r="G27" s="8" t="n">
        <v>10</v>
      </c>
      <c r="H27" s="6" t="inlineStr">
        <is>
          <t>GREEN</t>
        </is>
      </c>
      <c r="I27" s="7" t="inlineStr">
        <is>
          <t>Support (verified)</t>
        </is>
      </c>
      <c r="J27" s="7" t="n">
        <v>0</v>
      </c>
      <c r="K27" s="6" t="n">
        <v>0</v>
      </c>
      <c r="L27" s="6" t="inlineStr">
        <is>
          <t>triaged</t>
        </is>
      </c>
      <c r="M27" s="6" t="inlineStr">
        <is>
          <t>Met — Mexican banking law analysis</t>
        </is>
      </c>
      <c r="N27" s="6" t="inlineStr">
        <is>
          <t>Mexican banking statutes — Porfiriato era</t>
        </is>
      </c>
    </row>
    <row r="28" ht="48" customHeight="1">
      <c r="B28" s="5" t="inlineStr">
        <is>
          <t>WF-004</t>
        </is>
      </c>
      <c r="C28" s="6" t="inlineStr">
        <is>
          <t>Pipe 6 — Wells Fargo</t>
        </is>
      </c>
      <c r="D28" s="6" t="inlineStr">
        <is>
          <t>Wells Fargo Co. Express S.A. (Mexican subsidiary) continued operations until 1964 — NOT nationalized in 1918</t>
        </is>
      </c>
      <c r="E28" s="6" t="inlineStr">
        <is>
          <t>1900–1964</t>
        </is>
      </c>
      <c r="F28" s="7" t="inlineStr">
        <is>
          <t>VERIFIED</t>
        </is>
      </c>
      <c r="G28" s="8" t="n">
        <v>10</v>
      </c>
      <c r="H28" s="6" t="inlineStr">
        <is>
          <t>GREEN</t>
        </is>
      </c>
      <c r="I28" s="7" t="inlineStr">
        <is>
          <t>Support (verified)</t>
        </is>
      </c>
      <c r="J28" s="7" t="n">
        <v>0</v>
      </c>
      <c r="K28" s="6" t="n">
        <v>0</v>
      </c>
      <c r="L28" s="6" t="inlineStr">
        <is>
          <t>triaged</t>
        </is>
      </c>
      <c r="M28" s="6" t="inlineStr">
        <is>
          <t>Met — corporate historical record</t>
        </is>
      </c>
      <c r="N28" s="6" t="inlineStr">
        <is>
          <t>WF Historical Services</t>
        </is>
      </c>
    </row>
    <row r="29" ht="48" customHeight="1">
      <c r="B29" s="5" t="inlineStr">
        <is>
          <t>WF-005</t>
        </is>
      </c>
      <c r="C29" s="6" t="inlineStr">
        <is>
          <t>Pipe 6 — Wells Fargo</t>
        </is>
      </c>
      <c r="D29" s="6" t="inlineStr">
        <is>
          <t>Wells Fargo Express handled bullion shipments from Sonoran mines — documented 1910 gold bullion receipt</t>
        </is>
      </c>
      <c r="E29" s="6" t="inlineStr">
        <is>
          <t>1900–1964</t>
        </is>
      </c>
      <c r="F29" s="7" t="inlineStr">
        <is>
          <t>VERIFIED</t>
        </is>
      </c>
      <c r="G29" s="8" t="n">
        <v>9</v>
      </c>
      <c r="H29" s="6" t="inlineStr">
        <is>
          <t>GREEN</t>
        </is>
      </c>
      <c r="I29" s="7" t="inlineStr">
        <is>
          <t>Support (verified)</t>
        </is>
      </c>
      <c r="J29" s="7" t="n">
        <v>1</v>
      </c>
      <c r="K29" s="6" t="n">
        <v>0</v>
      </c>
      <c r="L29" s="6" t="inlineStr">
        <is>
          <t>triaged</t>
        </is>
      </c>
      <c r="M29" s="6" t="inlineStr">
        <is>
          <t>Met — physical document on file</t>
        </is>
      </c>
      <c r="N29" s="6" t="inlineStr">
        <is>
          <t>Philatelic / WF Historical Services</t>
        </is>
      </c>
    </row>
    <row r="30" ht="48" customHeight="1">
      <c r="B30" s="5" t="inlineStr">
        <is>
          <t>WF-006</t>
        </is>
      </c>
      <c r="C30" s="6" t="inlineStr">
        <is>
          <t>Pipe 6 — Wells Fargo</t>
        </is>
      </c>
      <c r="D30" s="6" t="inlineStr">
        <is>
          <t>Aviana Sagasta visited a Wells Fargo Express office to inquire about funds/accounts and was denied access</t>
        </is>
      </c>
      <c r="E30" s="6" t="inlineStr">
        <is>
          <t>~1912–1935 (oral history, unverified)</t>
        </is>
      </c>
      <c r="F30" s="7" t="inlineStr">
        <is>
          <t>ORANGE — Plausible, Unverified</t>
        </is>
      </c>
      <c r="G30" s="8" t="n">
        <v>4</v>
      </c>
      <c r="H30" s="6" t="inlineStr">
        <is>
          <t>ORANGE</t>
        </is>
      </c>
      <c r="I30" s="7" t="inlineStr">
        <is>
          <t>Support (partial/plausible)</t>
        </is>
      </c>
      <c r="J30" s="7" t="n">
        <v>6</v>
      </c>
      <c r="K30" s="6" t="n">
        <v>3</v>
      </c>
      <c r="L30" s="6" t="inlineStr">
        <is>
          <t>triaged</t>
        </is>
      </c>
      <c r="M30" s="6" t="inlineStr">
        <is>
          <t>Formal complaint or petition document in AHES archive</t>
        </is>
      </c>
      <c r="N30" s="6" t="inlineStr">
        <is>
          <t>WF Historical Services / AHES Fondo Judicial</t>
        </is>
      </c>
    </row>
    <row r="31" ht="48" customHeight="1">
      <c r="B31" s="5" t="inlineStr">
        <is>
          <t>WF-007</t>
        </is>
      </c>
      <c r="C31" s="6" t="inlineStr">
        <is>
          <t>Pipe 6 — Wells Fargo</t>
        </is>
      </c>
      <c r="D31" s="6" t="inlineStr">
        <is>
          <t>All prior WF transaction IDs (NOG-1900-0117-001 etc.), named employees (Peterson, Hughes, Harrington, Wilson) — AI-fabricated</t>
        </is>
      </c>
      <c r="E31" s="6" t="inlineStr">
        <is>
          <t>1900–1964</t>
        </is>
      </c>
      <c r="F31" s="7" t="inlineStr">
        <is>
          <t>RED — QUARANTINED</t>
        </is>
      </c>
      <c r="G31" s="8" t="n">
        <v>0</v>
      </c>
      <c r="H31" s="6" t="inlineStr">
        <is>
          <t>RED</t>
        </is>
      </c>
      <c r="I31" s="7" t="inlineStr">
        <is>
          <t>Fabricated (quarantined)</t>
        </is>
      </c>
      <c r="J31" s="7" t="n">
        <v>10</v>
      </c>
      <c r="K31" s="6" t="n">
        <v>10</v>
      </c>
      <c r="L31" s="6" t="inlineStr">
        <is>
          <t>quarantined</t>
        </is>
      </c>
      <c r="M31" s="6" t="inlineStr">
        <is>
          <t>N/A — confirmed fabrication</t>
        </is>
      </c>
      <c r="N31" s="6" t="inlineStr">
        <is>
          <t>None — quarantined</t>
        </is>
      </c>
    </row>
    <row r="32" ht="48" customHeight="1">
      <c r="B32" s="5" t="inlineStr">
        <is>
          <t>WF-008</t>
        </is>
      </c>
      <c r="C32" s="6" t="inlineStr">
        <is>
          <t>Pipe 6 — Wells Fargo</t>
        </is>
      </c>
      <c r="D32" s="6" t="inlineStr">
        <is>
          <t>Restitution document WF-RPA-2025-ASD-001 with T.H. Whitford signature and $639,187,500 USD — AI-generated fiction</t>
        </is>
      </c>
      <c r="E32" s="6" t="inlineStr">
        <is>
          <t>1900–1964</t>
        </is>
      </c>
      <c r="F32" s="7" t="inlineStr">
        <is>
          <t>RED — QUARANTINED</t>
        </is>
      </c>
      <c r="G32" s="8" t="n">
        <v>0</v>
      </c>
      <c r="H32" s="6" t="inlineStr">
        <is>
          <t>RED</t>
        </is>
      </c>
      <c r="I32" s="7" t="inlineStr">
        <is>
          <t>Fabricated (quarantined)</t>
        </is>
      </c>
      <c r="J32" s="7" t="n">
        <v>10</v>
      </c>
      <c r="K32" s="6" t="n">
        <v>10</v>
      </c>
      <c r="L32" s="6" t="inlineStr">
        <is>
          <t>quarantined</t>
        </is>
      </c>
      <c r="M32" s="6" t="inlineStr">
        <is>
          <t>N/A — confirmed fabrication</t>
        </is>
      </c>
      <c r="N32" s="6" t="inlineStr">
        <is>
          <t>None — quarantined</t>
        </is>
      </c>
    </row>
    <row r="33" ht="22" customHeight="1">
      <c r="B33" s="14" t="inlineStr">
        <is>
          <t xml:space="preserve">  PIPE 8 — LEGAL</t>
        </is>
      </c>
    </row>
    <row r="34" ht="22" customHeight="1">
      <c r="B34" s="15" t="inlineStr">
        <is>
          <t xml:space="preserve">  PIPE 9 — SOURCE INTEGRITY / ARCHIVAL LEADS</t>
        </is>
      </c>
    </row>
    <row r="35" ht="48" customHeight="1">
      <c r="B35" s="5" t="inlineStr">
        <is>
          <t>ARCH-002</t>
        </is>
      </c>
      <c r="C35" s="6" t="inlineStr">
        <is>
          <t>Pipe 9 — Source Integrity / Archival Leads</t>
        </is>
      </c>
      <c r="D35" s="6" t="inlineStr">
        <is>
          <t>Aviana documented as 'destitute' in Hermosillo, retaining only 'a cow and minimal household assets' — c. 1913</t>
        </is>
      </c>
      <c r="E35" s="6" t="inlineStr">
        <is>
          <t>c. 1913 (archival lead)</t>
        </is>
      </c>
      <c r="F35" s="7" t="inlineStr">
        <is>
          <t>ORANGE — Archival Lead</t>
        </is>
      </c>
      <c r="G35" s="8" t="n">
        <v>4</v>
      </c>
      <c r="H35" s="6" t="inlineStr">
        <is>
          <t>ORANGE</t>
        </is>
      </c>
      <c r="I35" s="7" t="inlineStr">
        <is>
          <t>Lead (requires verification)</t>
        </is>
      </c>
      <c r="J35" s="7" t="n">
        <v>6</v>
      </c>
      <c r="K35" s="6" t="n">
        <v>3</v>
      </c>
      <c r="L35" s="6" t="inlineStr">
        <is>
          <t>triaged</t>
        </is>
      </c>
      <c r="M35" s="6" t="inlineStr">
        <is>
          <t>Census padrón entry listing Aviana Sagasta</t>
        </is>
      </c>
      <c r="N35" s="6" t="inlineStr">
        <is>
          <t>AHES Padrón Municipal Hermosillo 1913–1915</t>
        </is>
      </c>
    </row>
    <row r="36" ht="48" customHeight="1">
      <c r="B36" s="5" t="inlineStr">
        <is>
          <t>ARCH-003</t>
        </is>
      </c>
      <c r="C36" s="6" t="inlineStr">
        <is>
          <t>Pipe 9 — Source Integrity / Archival Leads</t>
        </is>
      </c>
      <c r="D36" s="6" t="inlineStr">
        <is>
          <t>Francisco Terminel co-founded Banco Agrícola Sonorense in 1933</t>
        </is>
      </c>
      <c r="E36" s="6" t="inlineStr">
        <is>
          <t>1933</t>
        </is>
      </c>
      <c r="F36" s="7" t="inlineStr">
        <is>
          <t>RED — DISCONFIRMED</t>
        </is>
      </c>
      <c r="G36" s="8" t="n">
        <v>0</v>
      </c>
      <c r="H36" s="6" t="inlineStr">
        <is>
          <t>RED</t>
        </is>
      </c>
      <c r="I36" s="7" t="inlineStr">
        <is>
          <t>Contradict (disconfirmed)</t>
        </is>
      </c>
      <c r="J36" s="7" t="n">
        <v>10</v>
      </c>
      <c r="K36" s="6" t="n">
        <v>10</v>
      </c>
      <c r="L36" s="6" t="inlineStr">
        <is>
          <t>quarantined</t>
        </is>
      </c>
      <c r="M36" s="6" t="inlineStr">
        <is>
          <t>N/A — disconfirmed by Grijalva Díaz 2024</t>
        </is>
      </c>
      <c r="N36" s="6" t="inlineStr">
        <is>
          <t>AGES FN Álvarez escritura 21 1933 — quarantined</t>
        </is>
      </c>
    </row>
    <row r="37" ht="48" customHeight="1">
      <c r="B37" s="5" t="inlineStr">
        <is>
          <t>ARCH-004</t>
        </is>
      </c>
      <c r="C37" s="6" t="inlineStr">
        <is>
          <t>Pipe 9 — Source Integrity / Archival Leads</t>
        </is>
      </c>
      <c r="D37" s="6" t="inlineStr">
        <is>
          <t>Francisco Terminel was Federal Senator for Sonora, 1934</t>
        </is>
      </c>
      <c r="E37" s="6" t="inlineStr">
        <is>
          <t>1934</t>
        </is>
      </c>
      <c r="F37" s="7" t="inlineStr">
        <is>
          <t>ORANGE — Unverified, Downgraded</t>
        </is>
      </c>
      <c r="G37" s="8" t="n">
        <v>3</v>
      </c>
      <c r="H37" s="6" t="inlineStr">
        <is>
          <t>ORANGE</t>
        </is>
      </c>
      <c r="I37" s="7" t="inlineStr">
        <is>
          <t>Support (partial/plausible)</t>
        </is>
      </c>
      <c r="J37" s="7" t="n">
        <v>7</v>
      </c>
      <c r="K37" s="6" t="n">
        <v>3</v>
      </c>
      <c r="L37" s="6" t="inlineStr">
        <is>
          <t>triaged</t>
        </is>
      </c>
      <c r="M37" s="6" t="inlineStr">
        <is>
          <t>Congressional record confirming senatorial position</t>
        </is>
      </c>
      <c r="N37" s="6" t="inlineStr">
        <is>
          <t>Memoria Política XXXVI–XXXVII Legislaturas</t>
        </is>
      </c>
    </row>
    <row r="38" ht="48" customHeight="1">
      <c r="B38" s="5" t="inlineStr">
        <is>
          <t>INST-001</t>
        </is>
      </c>
      <c r="C38" s="6" t="inlineStr">
        <is>
          <t>Pipe 9 — Source Integrity / Archival Leads</t>
        </is>
      </c>
      <c r="D38" s="6" t="inlineStr">
        <is>
          <t>Pascua Yaqui Nation CHNA — official government document confirming ongoing Yaqui institutional recognition</t>
        </is>
      </c>
      <c r="E38" s="6" t="inlineStr">
        <is>
          <t>Contemporary</t>
        </is>
      </c>
      <c r="F38" s="7" t="inlineStr">
        <is>
          <t>VERIFIED</t>
        </is>
      </c>
      <c r="G38" s="8" t="n">
        <v>10</v>
      </c>
      <c r="H38" s="6" t="inlineStr">
        <is>
          <t>GREEN</t>
        </is>
      </c>
      <c r="I38" s="7" t="inlineStr">
        <is>
          <t>Support (verified)</t>
        </is>
      </c>
      <c r="J38" s="7" t="n">
        <v>0</v>
      </c>
      <c r="K38" s="6" t="n">
        <v>0</v>
      </c>
      <c r="L38" s="6" t="inlineStr">
        <is>
          <t>triaged</t>
        </is>
      </c>
      <c r="M38" s="6" t="inlineStr">
        <is>
          <t>Met — official U.S. government document</t>
        </is>
      </c>
      <c r="N38" s="6" t="inlineStr">
        <is>
          <t>HMKP-117-AP00 Pascua Yaqui CHNA</t>
        </is>
      </c>
    </row>
    <row r="39" ht="48" customHeight="1">
      <c r="B39" s="5" t="inlineStr">
        <is>
          <t>INST-002</t>
        </is>
      </c>
      <c r="C39" s="6" t="inlineStr">
        <is>
          <t>Pipe 9 — Source Integrity / Archival Leads</t>
        </is>
      </c>
      <c r="D39" s="6" t="inlineStr">
        <is>
          <t>Academic scholarship (Life and Labor on the Border) — peer-reviewed source on Yaqui/Sonoran mining labor history</t>
        </is>
      </c>
      <c r="E39" s="6" t="inlineStr">
        <is>
          <t>Contemporary</t>
        </is>
      </c>
      <c r="F39" s="7" t="inlineStr">
        <is>
          <t>VERIFIED</t>
        </is>
      </c>
      <c r="G39" s="8" t="n">
        <v>10</v>
      </c>
      <c r="H39" s="6" t="inlineStr">
        <is>
          <t>GREEN</t>
        </is>
      </c>
      <c r="I39" s="7" t="inlineStr">
        <is>
          <t>Support (verified)</t>
        </is>
      </c>
      <c r="J39" s="7" t="n">
        <v>0</v>
      </c>
      <c r="K39" s="6" t="n">
        <v>0</v>
      </c>
      <c r="L39" s="6" t="inlineStr">
        <is>
          <t>triaged</t>
        </is>
      </c>
      <c r="M39" s="6" t="inlineStr">
        <is>
          <t>Met — peer-reviewed academic source</t>
        </is>
      </c>
      <c r="N39" s="6" t="inlineStr">
        <is>
          <t>Academic chapter — on file</t>
        </is>
      </c>
    </row>
    <row r="40" ht="22" customHeight="1">
      <c r="B40" s="9" t="inlineStr">
        <is>
          <t xml:space="preserve">  PIPE 2 — POLITICAL</t>
        </is>
      </c>
    </row>
    <row r="41" ht="48" customHeight="1">
      <c r="B41" s="5" t="inlineStr">
        <is>
          <t>POL-005</t>
        </is>
      </c>
      <c r="C41" s="6" t="inlineStr">
        <is>
          <t>Pipe 2 — Political</t>
        </is>
      </c>
      <c r="D41" s="6" t="inlineStr">
        <is>
          <t>Bernardo Bandala (co-desaforado Dec 14 1935) — Senator; military Callista network</t>
        </is>
      </c>
      <c r="E41" s="6" t="inlineStr">
        <is>
          <t>December 1935</t>
        </is>
      </c>
      <c r="F41" s="7" t="inlineStr">
        <is>
          <t>ORANGE — Partially Verified</t>
        </is>
      </c>
      <c r="G41" s="8" t="n">
        <v>7</v>
      </c>
      <c r="H41" s="6" t="inlineStr">
        <is>
          <t>ORANGE</t>
        </is>
      </c>
      <c r="I41" s="7" t="inlineStr">
        <is>
          <t>Support (partial/plausible)</t>
        </is>
      </c>
      <c r="J41" s="7" t="n">
        <v>2</v>
      </c>
      <c r="K41" s="6" t="n">
        <v>1</v>
      </c>
      <c r="L41" s="6" t="inlineStr">
        <is>
          <t>triaged</t>
        </is>
      </c>
      <c r="M41" s="6" t="inlineStr">
        <is>
          <t>Confirm role via Diario de Debates Dec 1935</t>
        </is>
      </c>
      <c r="N41" s="6" t="inlineStr">
        <is>
          <t>Memoria Política</t>
        </is>
      </c>
    </row>
    <row r="42" ht="48" customHeight="1">
      <c r="B42" s="5" t="inlineStr">
        <is>
          <t>POL-006</t>
        </is>
      </c>
      <c r="C42" s="6" t="inlineStr">
        <is>
          <t>Pipe 2 — Political</t>
        </is>
      </c>
      <c r="D42" s="6" t="inlineStr">
        <is>
          <t>Eliseo Pérez Gómez (co-desaforado Dec 14 1935) — Senator; Callista political network</t>
        </is>
      </c>
      <c r="E42" s="6" t="inlineStr">
        <is>
          <t>December 1935</t>
        </is>
      </c>
      <c r="F42" s="7" t="inlineStr">
        <is>
          <t>ORANGE — Partially Verified</t>
        </is>
      </c>
      <c r="G42" s="8" t="n">
        <v>7</v>
      </c>
      <c r="H42" s="6" t="inlineStr">
        <is>
          <t>ORANGE</t>
        </is>
      </c>
      <c r="I42" s="7" t="inlineStr">
        <is>
          <t>Support (partial/plausible)</t>
        </is>
      </c>
      <c r="J42" s="7" t="n">
        <v>2</v>
      </c>
      <c r="K42" s="6" t="n">
        <v>1</v>
      </c>
      <c r="L42" s="6" t="inlineStr">
        <is>
          <t>triaged</t>
        </is>
      </c>
      <c r="M42" s="6" t="inlineStr">
        <is>
          <t>Confirm role via Diario de Debates Dec 1935</t>
        </is>
      </c>
      <c r="N42" s="6" t="inlineStr">
        <is>
          <t>Memoria Política</t>
        </is>
      </c>
    </row>
    <row r="43" ht="48" customHeight="1">
      <c r="B43" s="5" t="inlineStr">
        <is>
          <t>POL-007</t>
        </is>
      </c>
      <c r="C43" s="6" t="inlineStr">
        <is>
          <t>Pipe 2 — Political</t>
        </is>
      </c>
      <c r="D43" s="6" t="inlineStr">
        <is>
          <t>Cristóbal Bon Bustamante (co-desaforado Dec 14 1935) — Senator; linked to Maximato power structure</t>
        </is>
      </c>
      <c r="E43" s="6" t="inlineStr">
        <is>
          <t>December 1935</t>
        </is>
      </c>
      <c r="F43" s="7" t="inlineStr">
        <is>
          <t>ORANGE — Partially Verified</t>
        </is>
      </c>
      <c r="G43" s="8" t="n">
        <v>7</v>
      </c>
      <c r="H43" s="6" t="inlineStr">
        <is>
          <t>ORANGE</t>
        </is>
      </c>
      <c r="I43" s="7" t="inlineStr">
        <is>
          <t>Support (partial/plausible)</t>
        </is>
      </c>
      <c r="J43" s="7" t="n">
        <v>2</v>
      </c>
      <c r="K43" s="6" t="n">
        <v>1</v>
      </c>
      <c r="L43" s="6" t="inlineStr">
        <is>
          <t>triaged</t>
        </is>
      </c>
      <c r="M43" s="6" t="inlineStr">
        <is>
          <t>Confirm role via Diario de Debates Dec 1935</t>
        </is>
      </c>
      <c r="N43" s="6" t="inlineStr">
        <is>
          <t>Memoria Política</t>
        </is>
      </c>
    </row>
    <row r="44" ht="48" customHeight="1">
      <c r="B44" s="5" t="inlineStr">
        <is>
          <t>POL-008</t>
        </is>
      </c>
      <c r="C44" s="6" t="inlineStr">
        <is>
          <t>Pipe 2 — Political</t>
        </is>
      </c>
      <c r="D44" s="6" t="inlineStr">
        <is>
          <t>Calles exile circle included Luis N. Morones, General Ortega, General León — deported April 9, 1936</t>
        </is>
      </c>
      <c r="E44" s="6" t="inlineStr">
        <is>
          <t>April 1936</t>
        </is>
      </c>
      <c r="F44" s="7" t="inlineStr">
        <is>
          <t>ORANGE — Partially Verified</t>
        </is>
      </c>
      <c r="G44" s="8" t="n">
        <v>7</v>
      </c>
      <c r="H44" s="6" t="inlineStr">
        <is>
          <t>ORANGE</t>
        </is>
      </c>
      <c r="I44" s="7" t="inlineStr">
        <is>
          <t>Support (partial/plausible)</t>
        </is>
      </c>
      <c r="J44" s="7" t="n">
        <v>2</v>
      </c>
      <c r="K44" s="6" t="n">
        <v>1</v>
      </c>
      <c r="L44" s="6" t="inlineStr">
        <is>
          <t>triaged</t>
        </is>
      </c>
      <c r="M44" s="6" t="inlineStr">
        <is>
          <t>Confirm names via INEHRM or HNDM April 1936 press</t>
        </is>
      </c>
      <c r="N44" s="6" t="inlineStr">
        <is>
          <t>HNDM: Excélsior Apr 1936</t>
        </is>
      </c>
    </row>
    <row r="45" ht="48" customHeight="1">
      <c r="B45" s="5" t="inlineStr">
        <is>
          <t>POL-009</t>
        </is>
      </c>
      <c r="C45" s="6" t="inlineStr">
        <is>
          <t>Pipe 2 — Political</t>
        </is>
      </c>
      <c r="D45" s="6" t="inlineStr">
        <is>
          <t>Maximato timeline: Calles controls presidency through Portes Gil, Ortiz Rubio, Abelardo Rodríguez 1928–1934</t>
        </is>
      </c>
      <c r="E45" s="6" t="inlineStr">
        <is>
          <t>1928–1934</t>
        </is>
      </c>
      <c r="F45" s="7" t="inlineStr">
        <is>
          <t>VERIFIED</t>
        </is>
      </c>
      <c r="G45" s="8" t="n">
        <v>9</v>
      </c>
      <c r="H45" s="6" t="inlineStr">
        <is>
          <t>GREEN</t>
        </is>
      </c>
      <c r="I45" s="7" t="inlineStr">
        <is>
          <t>Support (verified)</t>
        </is>
      </c>
      <c r="J45" s="7" t="n">
        <v>1</v>
      </c>
      <c r="K45" s="6" t="n">
        <v>0</v>
      </c>
      <c r="L45" s="6" t="inlineStr">
        <is>
          <t>triaged</t>
        </is>
      </c>
      <c r="M45" s="6" t="inlineStr">
        <is>
          <t>Met — standard Mexican history record</t>
        </is>
      </c>
      <c r="N45" s="6" t="inlineStr">
        <is>
          <t>None — verified</t>
        </is>
      </c>
    </row>
    <row r="46" ht="48" customHeight="1">
      <c r="B46" s="5" t="inlineStr">
        <is>
          <t>POL-010</t>
        </is>
      </c>
      <c r="C46" s="6" t="inlineStr">
        <is>
          <t>Pipe 2 — Political</t>
        </is>
      </c>
      <c r="D46" s="6" t="inlineStr">
        <is>
          <t>Cárdenas consolidation sequence: Dec 14 1935 desafuero → April 9 1936 Calles exile → June 1936 full Cárdenas control</t>
        </is>
      </c>
      <c r="E46" s="6" t="inlineStr">
        <is>
          <t>1935–1936</t>
        </is>
      </c>
      <c r="F46" s="7" t="inlineStr">
        <is>
          <t>VERIFIED</t>
        </is>
      </c>
      <c r="G46" s="8" t="n">
        <v>9</v>
      </c>
      <c r="H46" s="6" t="inlineStr">
        <is>
          <t>GREEN</t>
        </is>
      </c>
      <c r="I46" s="7" t="inlineStr">
        <is>
          <t>Support (verified)</t>
        </is>
      </c>
      <c r="J46" s="7" t="n">
        <v>1</v>
      </c>
      <c r="K46" s="6" t="n">
        <v>0</v>
      </c>
      <c r="L46" s="6" t="inlineStr">
        <is>
          <t>triaged</t>
        </is>
      </c>
      <c r="M46" s="6" t="inlineStr">
        <is>
          <t>Met — standard Mexican history record</t>
        </is>
      </c>
      <c r="N46" s="6" t="inlineStr">
        <is>
          <t>None — verified</t>
        </is>
      </c>
    </row>
    <row r="47" ht="22" customHeight="1">
      <c r="B47" s="10" t="inlineStr">
        <is>
          <t xml:space="preserve">  PIPE 3 — LAND/PROPERTY</t>
        </is>
      </c>
    </row>
    <row r="48" ht="48" customHeight="1">
      <c r="B48" s="5" t="inlineStr">
        <is>
          <t>LAND-005</t>
        </is>
      </c>
      <c r="C48" s="6" t="inlineStr">
        <is>
          <t>Pipe 3 — Land/Property</t>
        </is>
      </c>
      <c r="D48" s="6" t="inlineStr">
        <is>
          <t>1907 'one peso' escritura: Terminel executed nominal-consideration transfer — Libro 92, Folio 37</t>
        </is>
      </c>
      <c r="E48" s="6" t="inlineStr">
        <is>
          <t>1907</t>
        </is>
      </c>
      <c r="F48" s="7" t="inlineStr">
        <is>
          <t>ORANGE — Archival Lead</t>
        </is>
      </c>
      <c r="G48" s="8" t="n">
        <v>4</v>
      </c>
      <c r="H48" s="6" t="inlineStr">
        <is>
          <t>ORANGE</t>
        </is>
      </c>
      <c r="I48" s="7" t="inlineStr">
        <is>
          <t>Lead (requires verification)</t>
        </is>
      </c>
      <c r="J48" s="7" t="n">
        <v>6</v>
      </c>
      <c r="K48" s="6" t="n">
        <v>3</v>
      </c>
      <c r="L48" s="6" t="inlineStr">
        <is>
          <t>triaged</t>
        </is>
      </c>
      <c r="M48" s="6" t="inlineStr">
        <is>
          <t>AHES Notarías Libro 92 Folio 37 — Sahuaripa or Hermosillo</t>
        </is>
      </c>
      <c r="N48" s="6" t="inlineStr">
        <is>
          <t>AHES Notarías Libro 92 Folio 37</t>
        </is>
      </c>
    </row>
    <row r="49" ht="48" customHeight="1">
      <c r="B49" s="5" t="inlineStr">
        <is>
          <t>LAND-006</t>
        </is>
      </c>
      <c r="C49" s="6" t="inlineStr">
        <is>
          <t>Pipe 3 — Land/Property</t>
        </is>
      </c>
      <c r="D49" s="6" t="inlineStr">
        <is>
          <t>Bacobampo mandamiento expediente detail: ejido formation decree citing Terminel family as prior private owner</t>
        </is>
      </c>
      <c r="E49" s="6" t="inlineStr">
        <is>
          <t>March 1938</t>
        </is>
      </c>
      <c r="F49" s="7" t="inlineStr">
        <is>
          <t>ORANGE — Partially Verified</t>
        </is>
      </c>
      <c r="G49" s="8" t="n">
        <v>6</v>
      </c>
      <c r="H49" s="6" t="inlineStr">
        <is>
          <t>ORANGE</t>
        </is>
      </c>
      <c r="I49" s="7" t="inlineStr">
        <is>
          <t>Support (partial/plausible)</t>
        </is>
      </c>
      <c r="J49" s="7" t="n">
        <v>4</v>
      </c>
      <c r="K49" s="6" t="n">
        <v>3</v>
      </c>
      <c r="L49" s="6" t="inlineStr">
        <is>
          <t>triaged</t>
        </is>
      </c>
      <c r="M49" s="6" t="inlineStr">
        <is>
          <t>Full AGES 411.123/2174 expediente text</t>
        </is>
      </c>
      <c r="N49" s="6" t="inlineStr">
        <is>
          <t>AGES 411.123/2174 full text</t>
        </is>
      </c>
    </row>
    <row r="50" ht="48" customHeight="1">
      <c r="B50" s="5" t="inlineStr">
        <is>
          <t>LAND-007</t>
        </is>
      </c>
      <c r="C50" s="6" t="inlineStr">
        <is>
          <t>Pipe 3 — Land/Property</t>
        </is>
      </c>
      <c r="D50" s="6" t="inlineStr">
        <is>
          <t>San Javier infrastructure deeds (water rights, dams, bridges) are in Gabriel T. Arce Jr.'s custody — chain of custody must be preserved</t>
        </is>
      </c>
      <c r="E50" s="6" t="inlineStr">
        <is>
          <t>~1900–1938</t>
        </is>
      </c>
      <c r="F50" s="7" t="inlineStr">
        <is>
          <t>ORANGE — Partially Verified</t>
        </is>
      </c>
      <c r="G50" s="8" t="n">
        <v>5</v>
      </c>
      <c r="H50" s="6" t="inlineStr">
        <is>
          <t>ORANGE</t>
        </is>
      </c>
      <c r="I50" s="7" t="inlineStr">
        <is>
          <t>Support (partial/plausible)</t>
        </is>
      </c>
      <c r="J50" s="7" t="n">
        <v>5</v>
      </c>
      <c r="K50" s="6" t="n">
        <v>3</v>
      </c>
      <c r="L50" s="6" t="inlineStr">
        <is>
          <t>triaged</t>
        </is>
      </c>
      <c r="M50" s="6" t="inlineStr">
        <is>
          <t>Photograph, SHA-256 hash, and notarize originals</t>
        </is>
      </c>
      <c r="N50" s="6" t="inlineStr">
        <is>
          <t>Private (Gabriel T. Arce Jr.)</t>
        </is>
      </c>
    </row>
    <row r="51" ht="48" customHeight="1">
      <c r="B51" s="5" t="inlineStr">
        <is>
          <t>LAND-008</t>
        </is>
      </c>
      <c r="C51" s="6" t="inlineStr">
        <is>
          <t>Pipe 3 — Land/Property</t>
        </is>
      </c>
      <c r="D51" s="6" t="inlineStr">
        <is>
          <t>Vendor/contractor payment trail: Terminel paid local builders/suppliers for infrastructure — likely recorded in AHES Protocolos Notariales</t>
        </is>
      </c>
      <c r="E51" s="6" t="inlineStr">
        <is>
          <t>~1895–1912</t>
        </is>
      </c>
      <c r="F51" s="7" t="inlineStr">
        <is>
          <t>ORANGE — Archival Lead</t>
        </is>
      </c>
      <c r="G51" s="8" t="n">
        <v>3</v>
      </c>
      <c r="H51" s="6" t="inlineStr">
        <is>
          <t>ORANGE</t>
        </is>
      </c>
      <c r="I51" s="7" t="inlineStr">
        <is>
          <t>Lead (requires verification)</t>
        </is>
      </c>
      <c r="J51" s="7" t="n">
        <v>5</v>
      </c>
      <c r="K51" s="6" t="n">
        <v>3</v>
      </c>
      <c r="L51" s="6" t="inlineStr">
        <is>
          <t>triaged</t>
        </is>
      </c>
      <c r="M51" s="6" t="inlineStr">
        <is>
          <t>Protocolos Notariales Sahuaripa / Hermosillo 1895–1915</t>
        </is>
      </c>
      <c r="N51" s="6" t="inlineStr">
        <is>
          <t>AHES Notarías Sahuaripa 1895–1915</t>
        </is>
      </c>
    </row>
    <row r="52" ht="48" customHeight="1">
      <c r="B52" s="5" t="inlineStr">
        <is>
          <t>LAND-009</t>
        </is>
      </c>
      <c r="C52" s="6" t="inlineStr">
        <is>
          <t>Pipe 3 — Land/Property</t>
        </is>
      </c>
      <c r="D52" s="6" t="inlineStr">
        <is>
          <t>San Javier ejido formation expediente (analog to Bacobampo) — documents dispossession of Terminel San Javier land and water</t>
        </is>
      </c>
      <c r="E52" s="6" t="inlineStr">
        <is>
          <t>post-1935</t>
        </is>
      </c>
      <c r="F52" s="7" t="inlineStr">
        <is>
          <t>ORANGE — Plausible, Unverified</t>
        </is>
      </c>
      <c r="G52" s="8" t="n">
        <v>5</v>
      </c>
      <c r="H52" s="6" t="inlineStr">
        <is>
          <t>ORANGE</t>
        </is>
      </c>
      <c r="I52" s="7" t="inlineStr">
        <is>
          <t>Support (partial/plausible)</t>
        </is>
      </c>
      <c r="J52" s="7" t="n">
        <v>4</v>
      </c>
      <c r="K52" s="6" t="n">
        <v>3</v>
      </c>
      <c r="L52" s="6" t="inlineStr">
        <is>
          <t>triaged</t>
        </is>
      </c>
      <c r="M52" s="6" t="inlineStr">
        <is>
          <t>AGES Ejido-Dotaciones — San Javier municipality expediente</t>
        </is>
      </c>
      <c r="N52" s="6" t="inlineStr">
        <is>
          <t>AGES Ejido-Dotaciones San Javier</t>
        </is>
      </c>
    </row>
    <row r="53" ht="22" customHeight="1">
      <c r="B53" s="11" t="inlineStr">
        <is>
          <t xml:space="preserve">  PIPE 4 — INDIGENOUS IDENTITY</t>
        </is>
      </c>
    </row>
    <row r="54" ht="48" customHeight="1">
      <c r="B54" s="5" t="inlineStr">
        <is>
          <t>IND-005</t>
        </is>
      </c>
      <c r="C54" s="6" t="inlineStr">
        <is>
          <t>Pipe 4 — Indigenous Identity</t>
        </is>
      </c>
      <c r="D54" s="6" t="inlineStr">
        <is>
          <t>San Javier is in Centro Costa (Sonora River watershed), NOT Sahuaripa — geographic correction critical for tribal affiliation</t>
        </is>
      </c>
      <c r="E54" s="6" t="inlineStr">
        <is>
          <t>Historical</t>
        </is>
      </c>
      <c r="F54" s="7" t="inlineStr">
        <is>
          <t>VERIFIED</t>
        </is>
      </c>
      <c r="G54" s="8" t="n">
        <v>10</v>
      </c>
      <c r="H54" s="6" t="inlineStr">
        <is>
          <t>GREEN</t>
        </is>
      </c>
      <c r="I54" s="7" t="inlineStr">
        <is>
          <t>Support (verified)</t>
        </is>
      </c>
      <c r="J54" s="7" t="n">
        <v>0</v>
      </c>
      <c r="K54" s="6" t="n">
        <v>0</v>
      </c>
      <c r="L54" s="6" t="inlineStr">
        <is>
          <t>triaged</t>
        </is>
      </c>
      <c r="M54" s="6" t="inlineStr">
        <is>
          <t>Met — INEGI code 260541 confirms Centro Costa region</t>
        </is>
      </c>
      <c r="N54" s="6" t="inlineStr">
        <is>
          <t>INEGI code 260541 — verified</t>
        </is>
      </c>
    </row>
    <row r="55" ht="48" customHeight="1">
      <c r="B55" s="5" t="inlineStr">
        <is>
          <t>IND-006</t>
        </is>
      </c>
      <c r="C55" s="6" t="inlineStr">
        <is>
          <t>Pipe 4 — Indigenous Identity</t>
        </is>
      </c>
      <c r="D55" s="6" t="inlineStr">
        <is>
          <t>Yaqui deportation pipeline 1902–1908: Díaz → General Torres → General Corral → General Molina → Yucatán henequen haciendas</t>
        </is>
      </c>
      <c r="E55" s="6" t="inlineStr">
        <is>
          <t>1902–1908</t>
        </is>
      </c>
      <c r="F55" s="7" t="inlineStr">
        <is>
          <t>VERIFIED</t>
        </is>
      </c>
      <c r="G55" s="8" t="n">
        <v>9</v>
      </c>
      <c r="H55" s="6" t="inlineStr">
        <is>
          <t>GREEN</t>
        </is>
      </c>
      <c r="I55" s="7" t="inlineStr">
        <is>
          <t>Support (verified)</t>
        </is>
      </c>
      <c r="J55" s="7" t="n">
        <v>1</v>
      </c>
      <c r="K55" s="6" t="n">
        <v>0</v>
      </c>
      <c r="L55" s="6" t="inlineStr">
        <is>
          <t>triaged</t>
        </is>
      </c>
      <c r="M55" s="6" t="inlineStr">
        <is>
          <t>Met — Turner 1910 Barbarous Mexico; Spicer scholarship</t>
        </is>
      </c>
      <c r="N55" s="6" t="inlineStr">
        <is>
          <t>Turner 1910 / Spicer scholarship</t>
        </is>
      </c>
    </row>
    <row r="56" ht="48" customHeight="1">
      <c r="B56" s="5" t="inlineStr">
        <is>
          <t>IND-007</t>
        </is>
      </c>
      <c r="C56" s="6" t="inlineStr">
        <is>
          <t>Pipe 4 — Indigenous Identity</t>
        </is>
      </c>
      <c r="D56" s="6" t="inlineStr">
        <is>
          <t>IACHR Tribu Yaqui v. Mexico 2023 friendly settlement — official Mexican recognition of Yaqui historical dispossession</t>
        </is>
      </c>
      <c r="E56" s="6" t="inlineStr">
        <is>
          <t>2023</t>
        </is>
      </c>
      <c r="F56" s="7" t="inlineStr">
        <is>
          <t>VERIFIED</t>
        </is>
      </c>
      <c r="G56" s="8" t="n">
        <v>10</v>
      </c>
      <c r="H56" s="6" t="inlineStr">
        <is>
          <t>GREEN</t>
        </is>
      </c>
      <c r="I56" s="7" t="inlineStr">
        <is>
          <t>Support (verified)</t>
        </is>
      </c>
      <c r="J56" s="7" t="n">
        <v>0</v>
      </c>
      <c r="K56" s="6" t="n">
        <v>0</v>
      </c>
      <c r="L56" s="6" t="inlineStr">
        <is>
          <t>triaged</t>
        </is>
      </c>
      <c r="M56" s="6" t="inlineStr">
        <is>
          <t>Met — IACHR official record</t>
        </is>
      </c>
      <c r="N56" s="6" t="inlineStr">
        <is>
          <t>IACHR official record 2023</t>
        </is>
      </c>
    </row>
    <row r="57" ht="48" customHeight="1">
      <c r="B57" s="5" t="inlineStr">
        <is>
          <t>DNA-003</t>
        </is>
      </c>
      <c r="C57" s="6" t="inlineStr">
        <is>
          <t>Pipe 4 — Indigenous Identity</t>
        </is>
      </c>
      <c r="D57" s="6" t="inlineStr">
        <is>
          <t>Pass 3.1 Pima Bajo probability: mtDNA haplogroup B2 aligns strongly with Névome/Tohono O'odham/Pima Bajo geographic distribution</t>
        </is>
      </c>
      <c r="E57" s="6" t="inlineStr">
        <is>
          <t>Contemporary</t>
        </is>
      </c>
      <c r="F57" s="7" t="inlineStr">
        <is>
          <t>ORANGE — Analytically Strong</t>
        </is>
      </c>
      <c r="G57" s="8" t="n">
        <v>7</v>
      </c>
      <c r="H57" s="6" t="inlineStr">
        <is>
          <t>ORANGE</t>
        </is>
      </c>
      <c r="I57" s="7" t="inlineStr">
        <is>
          <t>Support (partial/plausible)</t>
        </is>
      </c>
      <c r="J57" s="7" t="n">
        <v>3</v>
      </c>
      <c r="K57" s="6" t="n">
        <v>2</v>
      </c>
      <c r="L57" s="6" t="inlineStr">
        <is>
          <t>triaged</t>
        </is>
      </c>
      <c r="M57" s="6" t="inlineStr">
        <is>
          <t>Peer-reviewed haplogroup geographic distribution study</t>
        </is>
      </c>
      <c r="N57" s="6" t="inlineStr">
        <is>
          <t>Peer-reviewed haplogroup distribution studies</t>
        </is>
      </c>
    </row>
    <row r="58" ht="22" customHeight="1">
      <c r="B58" s="12" t="inlineStr">
        <is>
          <t xml:space="preserve">  PIPE 5 — GENEALOGICAL</t>
        </is>
      </c>
    </row>
    <row r="59" ht="48" customHeight="1">
      <c r="B59" s="5" t="inlineStr">
        <is>
          <t>GEN-004</t>
        </is>
      </c>
      <c r="C59" s="6" t="inlineStr">
        <is>
          <t>Pipe 5 — Genealogical</t>
        </is>
      </c>
      <c r="D59" s="6" t="inlineStr">
        <is>
          <t>1920 Sonora census (Distrito 5) lead — Francisco or family members may appear in Hermosillo/Sahuaripa area census</t>
        </is>
      </c>
      <c r="E59" s="6" t="inlineStr">
        <is>
          <t>1920</t>
        </is>
      </c>
      <c r="F59" s="7" t="inlineStr">
        <is>
          <t>ORANGE — Archival Lead</t>
        </is>
      </c>
      <c r="G59" s="8" t="n">
        <v>4</v>
      </c>
      <c r="H59" s="6" t="inlineStr">
        <is>
          <t>ORANGE</t>
        </is>
      </c>
      <c r="I59" s="7" t="inlineStr">
        <is>
          <t>Lead (requires verification)</t>
        </is>
      </c>
      <c r="J59" s="7" t="n">
        <v>5</v>
      </c>
      <c r="K59" s="6" t="n">
        <v>3</v>
      </c>
      <c r="L59" s="6" t="inlineStr">
        <is>
          <t>triaged</t>
        </is>
      </c>
      <c r="M59" s="6" t="inlineStr">
        <is>
          <t>1921 Mexican federal census — Sonora, Distrito 5</t>
        </is>
      </c>
      <c r="N59" s="6" t="inlineStr">
        <is>
          <t>AGN / INEGI 1921 census</t>
        </is>
      </c>
    </row>
    <row r="60" ht="48" customHeight="1">
      <c r="B60" s="5" t="inlineStr">
        <is>
          <t>GEN-005</t>
        </is>
      </c>
      <c r="C60" s="6" t="inlineStr">
        <is>
          <t>Pipe 5 — Genealogical</t>
        </is>
      </c>
      <c r="D60" s="6" t="inlineStr">
        <is>
          <t>Bácum locality renamed 'La Realidad' — Francisco Terminel reportedly linked to this geographic area</t>
        </is>
      </c>
      <c r="E60" s="6" t="inlineStr">
        <is>
          <t>~1900–1938</t>
        </is>
      </c>
      <c r="F60" s="7" t="inlineStr">
        <is>
          <t>ORANGE — Archival Lead</t>
        </is>
      </c>
      <c r="G60" s="8" t="n">
        <v>3</v>
      </c>
      <c r="H60" s="6" t="inlineStr">
        <is>
          <t>ORANGE</t>
        </is>
      </c>
      <c r="I60" s="7" t="inlineStr">
        <is>
          <t>Lead (requires verification)</t>
        </is>
      </c>
      <c r="J60" s="7" t="n">
        <v>6</v>
      </c>
      <c r="K60" s="6" t="n">
        <v>3</v>
      </c>
      <c r="L60" s="6" t="inlineStr">
        <is>
          <t>triaged</t>
        </is>
      </c>
      <c r="M60" s="6" t="inlineStr">
        <is>
          <t>INEGI historical locality records for Bácum / La Realidad</t>
        </is>
      </c>
      <c r="N60" s="6" t="inlineStr">
        <is>
          <t>INEGI historical locality index — Bácum</t>
        </is>
      </c>
    </row>
    <row r="61" ht="48" customHeight="1">
      <c r="B61" s="5" t="inlineStr">
        <is>
          <t>GEN-006</t>
        </is>
      </c>
      <c r="C61" s="6" t="inlineStr">
        <is>
          <t>Pipe 5 — Genealogical</t>
        </is>
      </c>
      <c r="D61" s="6" t="inlineStr">
        <is>
          <t>Francisco Terminel's death location remains open — not confirmed in Mexico or United States</t>
        </is>
      </c>
      <c r="E61" s="6" t="inlineStr">
        <is>
          <t>Unknown (post-1935)</t>
        </is>
      </c>
      <c r="F61" s="7" t="inlineStr">
        <is>
          <t>ORANGE — Plausible, Unverified</t>
        </is>
      </c>
      <c r="G61" s="8" t="n">
        <v>3</v>
      </c>
      <c r="H61" s="6" t="inlineStr">
        <is>
          <t>ORANGE</t>
        </is>
      </c>
      <c r="I61" s="7" t="inlineStr">
        <is>
          <t>Lead (requires verification)</t>
        </is>
      </c>
      <c r="J61" s="7" t="n">
        <v>5</v>
      </c>
      <c r="K61" s="6" t="n">
        <v>3</v>
      </c>
      <c r="L61" s="6" t="inlineStr">
        <is>
          <t>triaged</t>
        </is>
      </c>
      <c r="M61" s="6" t="inlineStr">
        <is>
          <t>Death certificate or burial record in Mexico or USA</t>
        </is>
      </c>
      <c r="N61" s="6" t="inlineStr">
        <is>
          <t>CA/AZ death records / AHES</t>
        </is>
      </c>
    </row>
    <row r="62" ht="48" customHeight="1">
      <c r="B62" s="5" t="inlineStr">
        <is>
          <t>GEN-007</t>
        </is>
      </c>
      <c r="C62" s="6" t="inlineStr">
        <is>
          <t>Pipe 5 — Genealogical</t>
        </is>
      </c>
      <c r="D62" s="6" t="inlineStr">
        <is>
          <t>Sahuaripa civil registration (1868–1993) available on FamilySearch catalog 704681 — not fully indexed, requires manual browse</t>
        </is>
      </c>
      <c r="E62" s="6" t="inlineStr">
        <is>
          <t>1868–1993</t>
        </is>
      </c>
      <c r="F62" s="7" t="inlineStr">
        <is>
          <t>ORANGE — Partially Verified</t>
        </is>
      </c>
      <c r="G62" s="8" t="n">
        <v>7</v>
      </c>
      <c r="H62" s="6" t="inlineStr">
        <is>
          <t>ORANGE</t>
        </is>
      </c>
      <c r="I62" s="7" t="inlineStr">
        <is>
          <t>Lead (requires verification)</t>
        </is>
      </c>
      <c r="J62" s="7" t="n">
        <v>3</v>
      </c>
      <c r="K62" s="6" t="n">
        <v>1</v>
      </c>
      <c r="L62" s="6" t="inlineStr">
        <is>
          <t>triaged</t>
        </is>
      </c>
      <c r="M62" s="6" t="inlineStr">
        <is>
          <t>Manual browse of FamilySearch catalog 704681 for Terminel/Sagasta</t>
        </is>
      </c>
      <c r="N62" s="6" t="inlineStr">
        <is>
          <t>FamilySearch catalog 704681 (TSK-001)</t>
        </is>
      </c>
    </row>
    <row r="63" ht="22" customHeight="1">
      <c r="B63" s="13" t="inlineStr">
        <is>
          <t xml:space="preserve">  PIPE 6 — WELLS FARGO</t>
        </is>
      </c>
    </row>
    <row r="64" ht="48" customHeight="1">
      <c r="B64" s="5" t="inlineStr">
        <is>
          <t>WF-010</t>
        </is>
      </c>
      <c r="C64" s="6" t="inlineStr">
        <is>
          <t>Pipe 6 — Wells Fargo</t>
        </is>
      </c>
      <c r="D64" s="6" t="inlineStr">
        <is>
          <t>1918 U.S. Express nationalization (American Railway Express): affected U.S. operations ONLY — WF Mexico/S.A. subsidiary not affected</t>
        </is>
      </c>
      <c r="E64" s="6" t="inlineStr">
        <is>
          <t>1918</t>
        </is>
      </c>
      <c r="F64" s="7" t="inlineStr">
        <is>
          <t>VERIFIED</t>
        </is>
      </c>
      <c r="G64" s="8" t="n">
        <v>9</v>
      </c>
      <c r="H64" s="6" t="inlineStr">
        <is>
          <t>GREEN</t>
        </is>
      </c>
      <c r="I64" s="7" t="inlineStr">
        <is>
          <t>Support (verified)</t>
        </is>
      </c>
      <c r="J64" s="7" t="n">
        <v>1</v>
      </c>
      <c r="K64" s="6" t="n">
        <v>0</v>
      </c>
      <c r="L64" s="6" t="inlineStr">
        <is>
          <t>triaged</t>
        </is>
      </c>
      <c r="M64" s="6" t="inlineStr">
        <is>
          <t>Met — Pass 3 forensic analysis</t>
        </is>
      </c>
      <c r="N64" s="6" t="inlineStr">
        <is>
          <t>Pass 3 forensic analysis</t>
        </is>
      </c>
    </row>
    <row r="65" ht="48" customHeight="1">
      <c r="B65" s="5" t="inlineStr">
        <is>
          <t>WF-011</t>
        </is>
      </c>
      <c r="C65" s="6" t="inlineStr">
        <is>
          <t>Pipe 6 — Wells Fargo</t>
        </is>
      </c>
      <c r="D65" s="6" t="inlineStr">
        <is>
          <t>Hosmer B. Parsons correspondence at Huntington Library — may contain WF Mexico Division operational references 1900–1920</t>
        </is>
      </c>
      <c r="E65" s="6" t="inlineStr">
        <is>
          <t>~1900–1920 (archival lead)</t>
        </is>
      </c>
      <c r="F65" s="7" t="inlineStr">
        <is>
          <t>ORANGE — Archival Lead</t>
        </is>
      </c>
      <c r="G65" s="8" t="n">
        <v>3</v>
      </c>
      <c r="H65" s="6" t="inlineStr">
        <is>
          <t>ORANGE</t>
        </is>
      </c>
      <c r="I65" s="7" t="inlineStr">
        <is>
          <t>Lead (requires verification)</t>
        </is>
      </c>
      <c r="J65" s="7" t="n">
        <v>4</v>
      </c>
      <c r="K65" s="6" t="n">
        <v>2</v>
      </c>
      <c r="L65" s="6" t="inlineStr">
        <is>
          <t>triaged</t>
        </is>
      </c>
      <c r="M65" s="6" t="inlineStr">
        <is>
          <t>Huntington Library finding aid for Parsons papers</t>
        </is>
      </c>
      <c r="N65" s="6" t="inlineStr">
        <is>
          <t>Huntington Library — Parsons papers</t>
        </is>
      </c>
    </row>
    <row r="66" ht="48" customHeight="1">
      <c r="B66" s="5" t="inlineStr">
        <is>
          <t>WF-012</t>
        </is>
      </c>
      <c r="C66" s="6" t="inlineStr">
        <is>
          <t>Pipe 6 — Wells Fargo</t>
        </is>
      </c>
      <c r="D66" s="6" t="inlineStr">
        <is>
          <t>Oregon Historical Society holds secondary WF Express collection — may contain Mexico Division correspondence</t>
        </is>
      </c>
      <c r="E66" s="6" t="inlineStr">
        <is>
          <t>~1890–1920 (archival lead)</t>
        </is>
      </c>
      <c r="F66" s="7" t="inlineStr">
        <is>
          <t>ORANGE — Archival Lead</t>
        </is>
      </c>
      <c r="G66" s="8" t="n">
        <v>3</v>
      </c>
      <c r="H66" s="6" t="inlineStr">
        <is>
          <t>ORANGE</t>
        </is>
      </c>
      <c r="I66" s="7" t="inlineStr">
        <is>
          <t>Lead (requires verification)</t>
        </is>
      </c>
      <c r="J66" s="7" t="n">
        <v>4</v>
      </c>
      <c r="K66" s="6" t="n">
        <v>2</v>
      </c>
      <c r="L66" s="6" t="inlineStr">
        <is>
          <t>triaged</t>
        </is>
      </c>
      <c r="M66" s="6" t="inlineStr">
        <is>
          <t>OHS finding aid for WF Express materials</t>
        </is>
      </c>
      <c r="N66" s="6" t="inlineStr">
        <is>
          <t>Oregon Historical Society</t>
        </is>
      </c>
    </row>
    <row r="67" ht="48" customHeight="1">
      <c r="B67" s="5" t="inlineStr">
        <is>
          <t>WF-013</t>
        </is>
      </c>
      <c r="C67" s="6" t="inlineStr">
        <is>
          <t>Pipe 6 — Wells Fargo</t>
        </is>
      </c>
      <c r="D67" s="6" t="inlineStr">
        <is>
          <t>Wells Fargo Indigenous Peoples Statement / ESRM policy — corporate acknowledgment potentially relevant to restitution context</t>
        </is>
      </c>
      <c r="E67" s="6" t="inlineStr">
        <is>
          <t>Contemporary</t>
        </is>
      </c>
      <c r="F67" s="7" t="inlineStr">
        <is>
          <t>ORANGE — Plausible, Unverified</t>
        </is>
      </c>
      <c r="G67" s="8" t="n">
        <v>4</v>
      </c>
      <c r="H67" s="6" t="inlineStr">
        <is>
          <t>ORANGE</t>
        </is>
      </c>
      <c r="I67" s="7" t="inlineStr">
        <is>
          <t>Lead (requires verification)</t>
        </is>
      </c>
      <c r="J67" s="7" t="n">
        <v>3</v>
      </c>
      <c r="K67" s="6" t="n">
        <v>2</v>
      </c>
      <c r="L67" s="6" t="inlineStr">
        <is>
          <t>triaged</t>
        </is>
      </c>
      <c r="M67" s="6" t="inlineStr">
        <is>
          <t>WF official corporate statement on indigenous peoples</t>
        </is>
      </c>
      <c r="N67" s="6" t="inlineStr">
        <is>
          <t>wellsfargo.com ESRM / CSR statement</t>
        </is>
      </c>
    </row>
    <row r="68" ht="48" customHeight="1">
      <c r="B68" s="5" t="inlineStr">
        <is>
          <t>WF-014</t>
        </is>
      </c>
      <c r="C68" s="6" t="inlineStr">
        <is>
          <t>Pipe 6 — Wells Fargo</t>
        </is>
      </c>
      <c r="D68" s="6" t="inlineStr">
        <is>
          <t>Wiltsee Collection (Wells Fargo Historical Services) holds ~1,400 envelopes of 19th-century express company documents — verified to exist</t>
        </is>
      </c>
      <c r="E68" s="6" t="inlineStr">
        <is>
          <t>~1860–1920</t>
        </is>
      </c>
      <c r="F68" s="7" t="inlineStr">
        <is>
          <t>ORANGE — Archival Lead</t>
        </is>
      </c>
      <c r="G68" s="8" t="n">
        <v>5</v>
      </c>
      <c r="H68" s="6" t="inlineStr">
        <is>
          <t>ORANGE</t>
        </is>
      </c>
      <c r="I68" s="7" t="inlineStr">
        <is>
          <t>Lead (requires verification)</t>
        </is>
      </c>
      <c r="J68" s="7" t="n">
        <v>5</v>
      </c>
      <c r="K68" s="6" t="n">
        <v>3</v>
      </c>
      <c r="L68" s="6" t="inlineStr">
        <is>
          <t>triaged</t>
        </is>
      </c>
      <c r="M68" s="6" t="inlineStr">
        <is>
          <t>Item-level search of Wiltsee Collection for Sonora/Terminel hits</t>
        </is>
      </c>
      <c r="N68" s="6" t="inlineStr">
        <is>
          <t>WF Historical Services — Wiltsee Collection</t>
        </is>
      </c>
    </row>
    <row r="69" ht="48" customHeight="1">
      <c r="B69" s="5" t="inlineStr">
        <is>
          <t>WF-015</t>
        </is>
      </c>
      <c r="C69" s="6" t="inlineStr">
        <is>
          <t>Pipe 6 — Wells Fargo</t>
        </is>
      </c>
      <c r="D69" s="6" t="inlineStr">
        <is>
          <t>Aviana-as-recipient reframe: Aviana should be searched as a recipient of funds/deposits, not merely a claimant — changes WF search strategy</t>
        </is>
      </c>
      <c r="E69" s="6" t="inlineStr">
        <is>
          <t>~1895–1935</t>
        </is>
      </c>
      <c r="F69" s="7" t="inlineStr">
        <is>
          <t>ORANGE — Archival Lead</t>
        </is>
      </c>
      <c r="G69" s="8" t="n">
        <v>4</v>
      </c>
      <c r="H69" s="6" t="inlineStr">
        <is>
          <t>ORANGE</t>
        </is>
      </c>
      <c r="I69" s="7" t="inlineStr">
        <is>
          <t>Lead (requires verification)</t>
        </is>
      </c>
      <c r="J69" s="7" t="n">
        <v>5</v>
      </c>
      <c r="K69" s="6" t="n">
        <v>3</v>
      </c>
      <c r="L69" s="6" t="inlineStr">
        <is>
          <t>triaged</t>
        </is>
      </c>
      <c r="M69" s="6" t="inlineStr">
        <is>
          <t>WF money-order register or account record naming Aviana Sagasta</t>
        </is>
      </c>
      <c r="N69" s="6" t="inlineStr">
        <is>
          <t>WF Historical Services (TSK-004)</t>
        </is>
      </c>
    </row>
    <row r="70" ht="22" customHeight="1">
      <c r="B70" s="16" t="inlineStr">
        <is>
          <t xml:space="preserve">  PIPE 7 — TRADECRAFT</t>
        </is>
      </c>
    </row>
    <row r="71" ht="48" customHeight="1">
      <c r="B71" s="5" t="inlineStr">
        <is>
          <t>TRADE-002</t>
        </is>
      </c>
      <c r="C71" s="6" t="inlineStr">
        <is>
          <t>Pipe 7 — Tradecraft</t>
        </is>
      </c>
      <c r="D71" s="6" t="inlineStr">
        <is>
          <t>'Gambling' cover narrative: Francisco's disappearance attributed to 'gambling losses' — potential cover story to explain asset flight</t>
        </is>
      </c>
      <c r="E71" s="6" t="inlineStr">
        <is>
          <t>~1912–1918</t>
        </is>
      </c>
      <c r="F71" s="7" t="inlineStr">
        <is>
          <t>ORANGE — Archival Lead</t>
        </is>
      </c>
      <c r="G71" s="8" t="n">
        <v>3</v>
      </c>
      <c r="H71" s="6" t="inlineStr">
        <is>
          <t>ORANGE</t>
        </is>
      </c>
      <c r="I71" s="7" t="inlineStr">
        <is>
          <t>Lead (requires verification)</t>
        </is>
      </c>
      <c r="J71" s="7" t="n">
        <v>5</v>
      </c>
      <c r="K71" s="6" t="n">
        <v>3</v>
      </c>
      <c r="L71" s="6" t="inlineStr">
        <is>
          <t>triaged</t>
        </is>
      </c>
      <c r="M71" s="6" t="inlineStr">
        <is>
          <t>Contemporary press (HNDM) or family legal documents mentioning gambling</t>
        </is>
      </c>
      <c r="N71" s="6" t="inlineStr">
        <is>
          <t>HNDM: Terminel + juego/deudas 1910–1920</t>
        </is>
      </c>
    </row>
    <row r="72" ht="48" customHeight="1">
      <c r="B72" s="5" t="inlineStr">
        <is>
          <t>TRADE-003</t>
        </is>
      </c>
      <c r="C72" s="6" t="inlineStr">
        <is>
          <t>Pipe 7 — Tradecraft</t>
        </is>
      </c>
      <c r="D72" s="6" t="inlineStr">
        <is>
          <t>Brothers' complicit silence: family oral history indicates Francisco's brothers knew of his departure and assisted — never publicly disclosed</t>
        </is>
      </c>
      <c r="E72" s="6" t="inlineStr">
        <is>
          <t>~1912–1935</t>
        </is>
      </c>
      <c r="F72" s="7" t="inlineStr">
        <is>
          <t>ORANGE — Plausible, Unverified</t>
        </is>
      </c>
      <c r="G72" s="8" t="n">
        <v>3</v>
      </c>
      <c r="H72" s="6" t="inlineStr">
        <is>
          <t>ORANGE</t>
        </is>
      </c>
      <c r="I72" s="7" t="inlineStr">
        <is>
          <t>Lead (requires verification)</t>
        </is>
      </c>
      <c r="J72" s="7" t="n">
        <v>4</v>
      </c>
      <c r="K72" s="6" t="n">
        <v>3</v>
      </c>
      <c r="L72" s="6" t="inlineStr">
        <is>
          <t>triaged</t>
        </is>
      </c>
      <c r="M72" s="6" t="inlineStr">
        <is>
          <t>Family letter, notarial power of attorney, or oral testimony confirming silence</t>
        </is>
      </c>
      <c r="N72" s="6" t="inlineStr">
        <is>
          <t>Gabriel family correspondence / POA docs</t>
        </is>
      </c>
    </row>
    <row r="73" ht="48" customHeight="1">
      <c r="B73" s="5" t="inlineStr">
        <is>
          <t>TRADE-004</t>
        </is>
      </c>
      <c r="C73" s="6" t="inlineStr">
        <is>
          <t>Pipe 7 — Tradecraft</t>
        </is>
      </c>
      <c r="D73" s="6" t="inlineStr">
        <is>
          <t>Dual-family hypothesis: Francisco may have maintained a second family unit in California/Arizona — explains sparse Sonora death record</t>
        </is>
      </c>
      <c r="E73" s="6" t="inlineStr">
        <is>
          <t>~1915–1950</t>
        </is>
      </c>
      <c r="F73" s="7" t="inlineStr">
        <is>
          <t>ORANGE — Archival Lead</t>
        </is>
      </c>
      <c r="G73" s="8" t="n">
        <v>3</v>
      </c>
      <c r="H73" s="6" t="inlineStr">
        <is>
          <t>ORANGE</t>
        </is>
      </c>
      <c r="I73" s="7" t="inlineStr">
        <is>
          <t>Lead (requires verification)</t>
        </is>
      </c>
      <c r="J73" s="7" t="n">
        <v>5</v>
      </c>
      <c r="K73" s="6" t="n">
        <v>3</v>
      </c>
      <c r="L73" s="6" t="inlineStr">
        <is>
          <t>triaged</t>
        </is>
      </c>
      <c r="M73" s="6" t="inlineStr">
        <is>
          <t>California/Arizona census or death records for Francisco L. Terminel</t>
        </is>
      </c>
      <c r="N73" s="6" t="inlineStr">
        <is>
          <t>U.S. Census 1920/1930/1940 CA/AZ</t>
        </is>
      </c>
    </row>
    <row r="74" ht="48" customHeight="1">
      <c r="B74" s="5" t="inlineStr">
        <is>
          <t>TRADE-005</t>
        </is>
      </c>
      <c r="C74" s="6" t="inlineStr">
        <is>
          <t>Pipe 7 — Tradecraft</t>
        </is>
      </c>
      <c r="D74" s="6" t="inlineStr">
        <is>
          <t>Strategic geographic anchoring: San Diego closer to Sonora than Mexico City — family migration to California consistent with Sonoran border pattern</t>
        </is>
      </c>
      <c r="E74" s="6" t="inlineStr">
        <is>
          <t>Historical-ongoing</t>
        </is>
      </c>
      <c r="F74" s="7" t="inlineStr">
        <is>
          <t>VERIFIED</t>
        </is>
      </c>
      <c r="G74" s="8" t="n">
        <v>8</v>
      </c>
      <c r="H74" s="6" t="inlineStr">
        <is>
          <t>GREEN</t>
        </is>
      </c>
      <c r="I74" s="7" t="inlineStr">
        <is>
          <t>Support (verified)</t>
        </is>
      </c>
      <c r="J74" s="7" t="n">
        <v>1</v>
      </c>
      <c r="K74" s="6" t="n">
        <v>0</v>
      </c>
      <c r="L74" s="6" t="inlineStr">
        <is>
          <t>triaged</t>
        </is>
      </c>
      <c r="M74" s="6" t="inlineStr">
        <is>
          <t>Met — geographic fact; consistent with documented Sonoran emigration patterns</t>
        </is>
      </c>
      <c r="N74" s="6" t="inlineStr">
        <is>
          <t>None — geographic fact verified</t>
        </is>
      </c>
    </row>
    <row r="75" ht="22" customHeight="1">
      <c r="B75" s="14" t="inlineStr">
        <is>
          <t xml:space="preserve">  PIPE 8 — LEGAL</t>
        </is>
      </c>
    </row>
    <row r="76" ht="48" customHeight="1">
      <c r="B76" s="5" t="inlineStr">
        <is>
          <t>LEGAL-003</t>
        </is>
      </c>
      <c r="C76" s="6" t="inlineStr">
        <is>
          <t>Pipe 8 — Legal</t>
        </is>
      </c>
      <c r="D76" s="6" t="inlineStr">
        <is>
          <t>Calvo Clause: Mexican constitutional restriction on foreigners holding land near borders — may have affected Terminel's asset structure</t>
        </is>
      </c>
      <c r="E76" s="6" t="inlineStr">
        <is>
          <t>~1890–1917</t>
        </is>
      </c>
      <c r="F76" s="7" t="inlineStr">
        <is>
          <t>ORANGE — Partially Verified</t>
        </is>
      </c>
      <c r="G76" s="8" t="n">
        <v>6</v>
      </c>
      <c r="H76" s="6" t="inlineStr">
        <is>
          <t>ORANGE</t>
        </is>
      </c>
      <c r="I76" s="7" t="inlineStr">
        <is>
          <t>Support (partial/plausible)</t>
        </is>
      </c>
      <c r="J76" s="7" t="n">
        <v>3</v>
      </c>
      <c r="K76" s="6" t="n">
        <v>2</v>
      </c>
      <c r="L76" s="6" t="inlineStr">
        <is>
          <t>triaged</t>
        </is>
      </c>
      <c r="M76" s="6" t="inlineStr">
        <is>
          <t>Constitutional provision + AHES land records showing titling strategy</t>
        </is>
      </c>
      <c r="N76" s="6" t="inlineStr">
        <is>
          <t>Constitutional law review — Calvo Clause</t>
        </is>
      </c>
    </row>
    <row r="77" ht="48" customHeight="1">
      <c r="B77" s="5" t="inlineStr">
        <is>
          <t>LEGAL-004</t>
        </is>
      </c>
      <c r="C77" s="6" t="inlineStr">
        <is>
          <t>Pipe 8 — Legal</t>
        </is>
      </c>
      <c r="D77" s="6" t="inlineStr">
        <is>
          <t>Bank Secrecy Act 1970 absence: no BSA-style disclosure requirement existed in 1900–1935 era — limits traceability of cross-border transfers</t>
        </is>
      </c>
      <c r="E77" s="6" t="inlineStr">
        <is>
          <t>Historical-ongoing</t>
        </is>
      </c>
      <c r="F77" s="7" t="inlineStr">
        <is>
          <t>VERIFIED</t>
        </is>
      </c>
      <c r="G77" s="8" t="n">
        <v>9</v>
      </c>
      <c r="H77" s="6" t="inlineStr">
        <is>
          <t>GREEN</t>
        </is>
      </c>
      <c r="I77" s="7" t="inlineStr">
        <is>
          <t>Support (verified)</t>
        </is>
      </c>
      <c r="J77" s="7" t="n">
        <v>1</v>
      </c>
      <c r="K77" s="6" t="n">
        <v>0</v>
      </c>
      <c r="L77" s="6" t="inlineStr">
        <is>
          <t>triaged</t>
        </is>
      </c>
      <c r="M77" s="6" t="inlineStr">
        <is>
          <t>Met — U.S. legal history record</t>
        </is>
      </c>
      <c r="N77" s="6" t="inlineStr">
        <is>
          <t>None — verified U.S. legal history</t>
        </is>
      </c>
    </row>
    <row r="78" ht="48" customHeight="1">
      <c r="B78" s="5" t="inlineStr">
        <is>
          <t>LEGAL-005</t>
        </is>
      </c>
      <c r="C78" s="6" t="inlineStr">
        <is>
          <t>Pipe 8 — Legal</t>
        </is>
      </c>
      <c r="D78" s="6" t="inlineStr">
        <is>
          <t>IACHR indigenous property precedents (Saramaka v. Suriname; Sarayaku v. Ecuador) — support collective land restitution claims</t>
        </is>
      </c>
      <c r="E78" s="6" t="inlineStr">
        <is>
          <t>2007–2012</t>
        </is>
      </c>
      <c r="F78" s="7" t="inlineStr">
        <is>
          <t>VERIFIED</t>
        </is>
      </c>
      <c r="G78" s="8" t="n">
        <v>9</v>
      </c>
      <c r="H78" s="6" t="inlineStr">
        <is>
          <t>GREEN</t>
        </is>
      </c>
      <c r="I78" s="7" t="inlineStr">
        <is>
          <t>Support (verified)</t>
        </is>
      </c>
      <c r="J78" s="7" t="n">
        <v>1</v>
      </c>
      <c r="K78" s="6" t="n">
        <v>0</v>
      </c>
      <c r="L78" s="6" t="inlineStr">
        <is>
          <t>triaged</t>
        </is>
      </c>
      <c r="M78" s="6" t="inlineStr">
        <is>
          <t>Met — IACHR published decisions</t>
        </is>
      </c>
      <c r="N78" s="6" t="inlineStr">
        <is>
          <t>IACHR published decisions 2007–2012</t>
        </is>
      </c>
    </row>
    <row r="79" ht="48" customHeight="1">
      <c r="B79" s="5" t="inlineStr">
        <is>
          <t>LEGAL-006</t>
        </is>
      </c>
      <c r="C79" s="6" t="inlineStr">
        <is>
          <t>Pipe 8 — Legal</t>
        </is>
      </c>
      <c r="D79" s="6" t="inlineStr">
        <is>
          <t>Lloyd's of London 2020 slavery reparations precedent — institutional acknowledgment of historical liability may support Terminel-era asset recovery arguments</t>
        </is>
      </c>
      <c r="E79" s="6" t="inlineStr">
        <is>
          <t>2020</t>
        </is>
      </c>
      <c r="F79" s="7" t="inlineStr">
        <is>
          <t>ORANGE — Plausible, Unverified</t>
        </is>
      </c>
      <c r="G79" s="8" t="n">
        <v>4</v>
      </c>
      <c r="H79" s="6" t="inlineStr">
        <is>
          <t>ORANGE</t>
        </is>
      </c>
      <c r="I79" s="7" t="inlineStr">
        <is>
          <t>Lead (requires verification)</t>
        </is>
      </c>
      <c r="J79" s="7" t="n">
        <v>3</v>
      </c>
      <c r="K79" s="6" t="n">
        <v>2</v>
      </c>
      <c r="L79" s="6" t="inlineStr">
        <is>
          <t>triaged</t>
        </is>
      </c>
      <c r="M79" s="6" t="inlineStr">
        <is>
          <t>Lloyd's formal apology and methodology document</t>
        </is>
      </c>
      <c r="N79" s="6" t="inlineStr">
        <is>
          <t>Lloyd's 2020 corporate statement</t>
        </is>
      </c>
    </row>
    <row r="80" ht="22" customHeight="1">
      <c r="B80" s="15" t="inlineStr">
        <is>
          <t xml:space="preserve">  PIPE 9 — SOURCE INTEGRITY / ARCHIVAL LEADS</t>
        </is>
      </c>
    </row>
    <row r="81" ht="48" customHeight="1">
      <c r="B81" s="5" t="inlineStr">
        <is>
          <t>AUDIT-002</t>
        </is>
      </c>
      <c r="C81" s="6" t="inlineStr">
        <is>
          <t>Pipe 9 — Source Integrity / Archival Leads</t>
        </is>
      </c>
      <c r="D81" s="6" t="inlineStr">
        <is>
          <t>Celso López phantom citation: 'Celso López, Sahuaripa historian, 1987' — AI-fabricated authority, no record found in UNISON or COLSON</t>
        </is>
      </c>
      <c r="E81" s="6" t="inlineStr">
        <is>
          <t>2024–2025</t>
        </is>
      </c>
      <c r="F81" s="7" t="inlineStr">
        <is>
          <t>RED — DISCONFIRMED</t>
        </is>
      </c>
      <c r="G81" s="8" t="n">
        <v>0</v>
      </c>
      <c r="H81" s="6" t="inlineStr">
        <is>
          <t>RED</t>
        </is>
      </c>
      <c r="I81" s="7" t="inlineStr">
        <is>
          <t>Fabricated (quarantined)</t>
        </is>
      </c>
      <c r="J81" s="7" t="n">
        <v>10</v>
      </c>
      <c r="K81" s="6" t="n">
        <v>10</v>
      </c>
      <c r="L81" s="6" t="inlineStr">
        <is>
          <t>quarantined</t>
        </is>
      </c>
      <c r="M81" s="6" t="inlineStr">
        <is>
          <t>No record in UNISON, COLSON, or HNDM; confirmed AI invention</t>
        </is>
      </c>
      <c r="N81" s="6" t="inlineStr">
        <is>
          <t>UNISON / COLSON / HNDM — negative search</t>
        </is>
      </c>
    </row>
    <row r="82" ht="48" customHeight="1">
      <c r="B82" s="5" t="inlineStr">
        <is>
          <t>AUDIT-003</t>
        </is>
      </c>
      <c r="C82" s="6" t="inlineStr">
        <is>
          <t>Pipe 9 — Source Integrity / Archival Leads</t>
        </is>
      </c>
      <c r="D82" s="6" t="inlineStr">
        <is>
          <t>'Cow principle': the one verified, specific oral-history detail (Aviana left with only a cow) is precisely because AI cannot invent calibrated specificity — strengthens oral lead</t>
        </is>
      </c>
      <c r="E82" s="6" t="inlineStr">
        <is>
          <t>Contemporary (methodological)</t>
        </is>
      </c>
      <c r="F82" s="7" t="inlineStr">
        <is>
          <t>VERIFIED</t>
        </is>
      </c>
      <c r="G82" s="8" t="n">
        <v>9</v>
      </c>
      <c r="H82" s="6" t="inlineStr">
        <is>
          <t>GREEN</t>
        </is>
      </c>
      <c r="I82" s="7" t="inlineStr">
        <is>
          <t>Support (verified)</t>
        </is>
      </c>
      <c r="J82" s="7" t="n">
        <v>1</v>
      </c>
      <c r="K82" s="6" t="n">
        <v>0</v>
      </c>
      <c r="L82" s="6" t="inlineStr">
        <is>
          <t>triaged</t>
        </is>
      </c>
      <c r="M82" s="6" t="inlineStr">
        <is>
          <t>Met — methodological principle confirmed in audit</t>
        </is>
      </c>
      <c r="N82" s="6" t="inlineStr">
        <is>
          <t>Methodological — audit report</t>
        </is>
      </c>
    </row>
    <row r="83" ht="48" customHeight="1">
      <c r="B83" s="5" t="inlineStr">
        <is>
          <t>AUDIT-004</t>
        </is>
      </c>
      <c r="C83" s="6" t="inlineStr">
        <is>
          <t>Pipe 9 — Source Integrity / Archival Leads</t>
        </is>
      </c>
      <c r="D83" s="6" t="inlineStr">
        <is>
          <t>WF employee names (Peterson, Hughes, Harrington, Wilson) confirmed AI-fabricated — no WF archive uses period transaction ID format (e.g. NOG-1900-0117-001)</t>
        </is>
      </c>
      <c r="E83" s="6" t="inlineStr">
        <is>
          <t>2024–2025</t>
        </is>
      </c>
      <c r="F83" s="7" t="inlineStr">
        <is>
          <t>RED — DISCONFIRMED</t>
        </is>
      </c>
      <c r="G83" s="8" t="n">
        <v>0</v>
      </c>
      <c r="H83" s="6" t="inlineStr">
        <is>
          <t>RED</t>
        </is>
      </c>
      <c r="I83" s="7" t="inlineStr">
        <is>
          <t>Fabricated (quarantined)</t>
        </is>
      </c>
      <c r="J83" s="7" t="n">
        <v>10</v>
      </c>
      <c r="K83" s="6" t="n">
        <v>10</v>
      </c>
      <c r="L83" s="6" t="inlineStr">
        <is>
          <t>quarantined</t>
        </is>
      </c>
      <c r="M83" s="6" t="inlineStr">
        <is>
          <t>Confirmed by WF institutional historian Bob Chandler citation</t>
        </is>
      </c>
      <c r="N83" s="6" t="inlineStr">
        <is>
          <t>WF institutional historian citation</t>
        </is>
      </c>
    </row>
    <row r="84" ht="48" customHeight="1">
      <c r="B84" s="5" t="inlineStr">
        <is>
          <t>AUDIT-005</t>
        </is>
      </c>
      <c r="C84" s="6" t="inlineStr">
        <is>
          <t>Pipe 9 — Source Integrity / Archival Leads</t>
        </is>
      </c>
      <c r="D84" s="6" t="inlineStr">
        <is>
          <t>$639,187,500 restitution figure (WF-RPA-2025-ASD-001) — AI-calculated; no primary source; not a real WF document</t>
        </is>
      </c>
      <c r="E84" s="6" t="inlineStr">
        <is>
          <t>2024–2025</t>
        </is>
      </c>
      <c r="F84" s="7" t="inlineStr">
        <is>
          <t>RED — QUARANTINED</t>
        </is>
      </c>
      <c r="G84" s="8" t="n">
        <v>0</v>
      </c>
      <c r="H84" s="6" t="inlineStr">
        <is>
          <t>RED</t>
        </is>
      </c>
      <c r="I84" s="7" t="inlineStr">
        <is>
          <t>Fabricated (quarantined)</t>
        </is>
      </c>
      <c r="J84" s="7" t="n">
        <v>10</v>
      </c>
      <c r="K84" s="6" t="n">
        <v>10</v>
      </c>
      <c r="L84" s="6" t="inlineStr">
        <is>
          <t>quarantined</t>
        </is>
      </c>
      <c r="M84" s="6" t="inlineStr">
        <is>
          <t>No primary source; confirmed AI synthesis</t>
        </is>
      </c>
      <c r="N84" s="6" t="inlineStr">
        <is>
          <t>Audit report — quarantined</t>
        </is>
      </c>
    </row>
    <row r="85" ht="48" customHeight="1">
      <c r="B85" s="5" t="inlineStr">
        <is>
          <t>AUDIT-006</t>
        </is>
      </c>
      <c r="C85" s="6" t="inlineStr">
        <is>
          <t>Pipe 9 — Source Integrity / Archival Leads</t>
        </is>
      </c>
      <c r="D85" s="6" t="inlineStr">
        <is>
          <t>INEHRM Banco Agrícola Sonorense founding (1933): five agricultural associations as founders — Grijalva Díaz 2024 peer-reviewed; Terminel absent</t>
        </is>
      </c>
      <c r="E85" s="6" t="inlineStr">
        <is>
          <t>2024 (scholarly)</t>
        </is>
      </c>
      <c r="F85" s="7" t="inlineStr">
        <is>
          <t>VERIFIED</t>
        </is>
      </c>
      <c r="G85" s="8" t="n">
        <v>10</v>
      </c>
      <c r="H85" s="6" t="inlineStr">
        <is>
          <t>GREEN</t>
        </is>
      </c>
      <c r="I85" s="7" t="inlineStr">
        <is>
          <t>Contradict (disconfirmed)</t>
        </is>
      </c>
      <c r="J85" s="7" t="n">
        <v>0</v>
      </c>
      <c r="K85" s="6" t="n">
        <v>0</v>
      </c>
      <c r="L85" s="6" t="inlineStr">
        <is>
          <t>triaged</t>
        </is>
      </c>
      <c r="M85" s="6" t="inlineStr">
        <is>
          <t>Met — Grijalva Díaz Indiciales 2024 peer-reviewed citation</t>
        </is>
      </c>
      <c r="N85" s="6" t="inlineStr">
        <is>
          <t>Grijalva Díaz Indiciales 2024</t>
        </is>
      </c>
    </row>
  </sheetData>
  <mergeCells count="18">
    <mergeCell ref="B6:M6"/>
    <mergeCell ref="B47:M47"/>
    <mergeCell ref="B2:M2"/>
    <mergeCell ref="B34:M34"/>
    <mergeCell ref="B15:M15"/>
    <mergeCell ref="B33:M33"/>
    <mergeCell ref="B25:M25"/>
    <mergeCell ref="B70:M70"/>
    <mergeCell ref="B3:M3"/>
    <mergeCell ref="B80:M80"/>
    <mergeCell ref="B63:M63"/>
    <mergeCell ref="B23:M23"/>
    <mergeCell ref="B40:M40"/>
    <mergeCell ref="B18:M18"/>
    <mergeCell ref="B58:M58"/>
    <mergeCell ref="B53:M53"/>
    <mergeCell ref="B75:M75"/>
    <mergeCell ref="B12:M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4"/>
  <sheetViews>
    <sheetView workbookViewId="0">
      <selection activeCell="A1" sqref="A1"/>
    </sheetView>
  </sheetViews>
  <sheetFormatPr baseColWidth="8" defaultRowHeight="15"/>
  <cols>
    <col width="3" customWidth="1" min="1" max="1"/>
    <col width="5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 ht="28" customHeight="1">
      <c r="B2" s="1" t="inlineStr">
        <is>
          <t>TE360 — EVIDENCE DASHBOARD</t>
        </is>
      </c>
    </row>
    <row r="4" ht="22" customHeight="1">
      <c r="B4" s="17" t="inlineStr">
        <is>
          <t>Total Claims</t>
        </is>
      </c>
      <c r="E4" s="18" t="n">
        <v>80</v>
      </c>
    </row>
    <row r="6" ht="22" customHeight="1">
      <c r="B6" s="19" t="inlineStr">
        <is>
          <t>GREEN (Verified)</t>
        </is>
      </c>
      <c r="E6" s="20" t="n">
        <v>35</v>
      </c>
    </row>
    <row r="8" ht="22" customHeight="1">
      <c r="B8" s="21" t="inlineStr">
        <is>
          <t>ORANGE (Leads/Partial)</t>
        </is>
      </c>
      <c r="E8" s="22" t="n">
        <v>39</v>
      </c>
    </row>
    <row r="10" ht="22" customHeight="1">
      <c r="B10" s="23" t="inlineStr">
        <is>
          <t>RED (Quarantined/Disconfirmed)</t>
        </is>
      </c>
      <c r="E10" s="24" t="n">
        <v>6</v>
      </c>
    </row>
    <row r="14" ht="22" customHeight="1">
      <c r="B14" s="25" t="inlineStr">
        <is>
          <t>CLAIMS BY PIPE</t>
        </is>
      </c>
    </row>
    <row r="15" ht="22" customHeight="1">
      <c r="B15" s="3" t="inlineStr">
        <is>
          <t>Pipe</t>
        </is>
      </c>
      <c r="C15" s="3" t="inlineStr">
        <is>
          <t>Total Claims</t>
        </is>
      </c>
      <c r="D15" s="3" t="inlineStr">
        <is>
          <t>GREEN</t>
        </is>
      </c>
      <c r="E15" s="3" t="inlineStr">
        <is>
          <t>ORANGE</t>
        </is>
      </c>
      <c r="F15" s="3" t="inlineStr">
        <is>
          <t>RED</t>
        </is>
      </c>
      <c r="G15" s="3" t="inlineStr">
        <is>
          <t>Avg Confidence</t>
        </is>
      </c>
    </row>
    <row r="16" ht="20" customHeight="1">
      <c r="B16" s="6" t="inlineStr">
        <is>
          <t>Pipe 1 — Geographic/Mining</t>
        </is>
      </c>
      <c r="C16" s="5" t="n">
        <v>6</v>
      </c>
      <c r="D16" s="5" t="n">
        <v>6</v>
      </c>
      <c r="E16" s="5" t="n">
        <v>0</v>
      </c>
      <c r="F16" s="5" t="n">
        <v>0</v>
      </c>
      <c r="G16" s="5" t="n">
        <v>9.800000000000001</v>
      </c>
    </row>
    <row r="17" ht="20" customHeight="1">
      <c r="B17" s="6" t="inlineStr">
        <is>
          <t>Pipe 2 — Political</t>
        </is>
      </c>
      <c r="C17" s="5" t="n">
        <v>10</v>
      </c>
      <c r="D17" s="5" t="n">
        <v>5</v>
      </c>
      <c r="E17" s="5" t="n">
        <v>5</v>
      </c>
      <c r="F17" s="5" t="n">
        <v>0</v>
      </c>
      <c r="G17" s="5" t="n">
        <v>8</v>
      </c>
    </row>
    <row r="18" ht="20" customHeight="1">
      <c r="B18" s="6" t="inlineStr">
        <is>
          <t>Pipe 3 — Land/Property</t>
        </is>
      </c>
      <c r="C18" s="5" t="n">
        <v>9</v>
      </c>
      <c r="D18" s="5" t="n">
        <v>1</v>
      </c>
      <c r="E18" s="5" t="n">
        <v>8</v>
      </c>
      <c r="F18" s="5" t="n">
        <v>0</v>
      </c>
      <c r="G18" s="5" t="n">
        <v>5.2</v>
      </c>
    </row>
    <row r="19" ht="20" customHeight="1">
      <c r="B19" s="6" t="inlineStr">
        <is>
          <t>Pipe 4 — Indigenous Identity</t>
        </is>
      </c>
      <c r="C19" s="5" t="n">
        <v>10</v>
      </c>
      <c r="D19" s="5" t="n">
        <v>7</v>
      </c>
      <c r="E19" s="5" t="n">
        <v>3</v>
      </c>
      <c r="F19" s="5" t="n">
        <v>0</v>
      </c>
      <c r="G19" s="5" t="n">
        <v>8.6</v>
      </c>
    </row>
    <row r="20" ht="20" customHeight="1">
      <c r="B20" s="6" t="inlineStr">
        <is>
          <t>Pipe 5 — Genealogical</t>
        </is>
      </c>
      <c r="C20" s="5" t="n">
        <v>7</v>
      </c>
      <c r="D20" s="5" t="n">
        <v>0</v>
      </c>
      <c r="E20" s="5" t="n">
        <v>7</v>
      </c>
      <c r="F20" s="5" t="n">
        <v>0</v>
      </c>
      <c r="G20" s="5" t="n">
        <v>4.7</v>
      </c>
    </row>
    <row r="21" ht="20" customHeight="1">
      <c r="B21" s="6" t="inlineStr">
        <is>
          <t>Pipe 6 — Wells Fargo</t>
        </is>
      </c>
      <c r="C21" s="5" t="n">
        <v>15</v>
      </c>
      <c r="D21" s="5" t="n">
        <v>7</v>
      </c>
      <c r="E21" s="5" t="n">
        <v>6</v>
      </c>
      <c r="F21" s="5" t="n">
        <v>2</v>
      </c>
      <c r="G21" s="5" t="n">
        <v>6</v>
      </c>
    </row>
    <row r="22" ht="20" customHeight="1">
      <c r="B22" s="6" t="inlineStr">
        <is>
          <t>Pipe 7 — Tradecraft</t>
        </is>
      </c>
      <c r="C22" s="5" t="n">
        <v>5</v>
      </c>
      <c r="D22" s="5" t="n">
        <v>1</v>
      </c>
      <c r="E22" s="5" t="n">
        <v>4</v>
      </c>
      <c r="F22" s="5" t="n">
        <v>0</v>
      </c>
      <c r="G22" s="5" t="n">
        <v>4</v>
      </c>
    </row>
    <row r="23" ht="20" customHeight="1">
      <c r="B23" s="6" t="inlineStr">
        <is>
          <t>Pipe 8 — Legal</t>
        </is>
      </c>
      <c r="C23" s="5" t="n">
        <v>6</v>
      </c>
      <c r="D23" s="5" t="n">
        <v>3</v>
      </c>
      <c r="E23" s="5" t="n">
        <v>3</v>
      </c>
      <c r="F23" s="5" t="n">
        <v>0</v>
      </c>
      <c r="G23" s="5" t="n">
        <v>7.3</v>
      </c>
    </row>
    <row r="24" ht="20" customHeight="1">
      <c r="B24" s="6" t="inlineStr">
        <is>
          <t>Pipe 9 — Source Integrity / Archival Leads</t>
        </is>
      </c>
      <c r="C24" s="5" t="n">
        <v>12</v>
      </c>
      <c r="D24" s="5" t="n">
        <v>5</v>
      </c>
      <c r="E24" s="5" t="n">
        <v>3</v>
      </c>
      <c r="F24" s="5" t="n">
        <v>4</v>
      </c>
      <c r="G24" s="5" t="n">
        <v>5</v>
      </c>
    </row>
  </sheetData>
  <mergeCells count="6">
    <mergeCell ref="B10:D10"/>
    <mergeCell ref="B14:H14"/>
    <mergeCell ref="B8:D8"/>
    <mergeCell ref="B4:D4"/>
    <mergeCell ref="B2:H2"/>
    <mergeCell ref="B6:D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43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8" customWidth="1" min="3" max="3"/>
    <col width="14" customWidth="1" min="4" max="4"/>
    <col width="12" customWidth="1" min="5" max="5"/>
    <col width="65" customWidth="1" min="6" max="6"/>
    <col width="45" customWidth="1" min="7" max="7"/>
    <col width="10" customWidth="1" min="8" max="8"/>
  </cols>
  <sheetData>
    <row r="2" ht="28" customHeight="1">
      <c r="B2" s="1" t="inlineStr">
        <is>
          <t>PRIORITY ACTION QUEUE — Immediate &amp; Urgent Tasks</t>
        </is>
      </c>
    </row>
    <row r="4" ht="30" customHeight="1">
      <c r="B4" s="3" t="inlineStr">
        <is>
          <t>Claim ID</t>
        </is>
      </c>
      <c r="C4" s="3" t="inlineStr">
        <is>
          <t>Pipe</t>
        </is>
      </c>
      <c r="D4" s="3" t="inlineStr">
        <is>
          <t>Status</t>
        </is>
      </c>
      <c r="E4" s="3" t="inlineStr">
        <is>
          <t>Confidence</t>
        </is>
      </c>
      <c r="F4" s="3" t="inlineStr">
        <is>
          <t>Next Action / Burden of Proof</t>
        </is>
      </c>
      <c r="G4" s="3" t="inlineStr">
        <is>
          <t>Archive Target</t>
        </is>
      </c>
      <c r="H4" s="3" t="inlineStr">
        <is>
          <t>Risk</t>
        </is>
      </c>
    </row>
    <row r="5" ht="40" customHeight="1">
      <c r="B5" s="5" t="inlineStr">
        <is>
          <t>ARCH-004</t>
        </is>
      </c>
      <c r="C5" s="6" t="inlineStr">
        <is>
          <t>Pipe 9 — Source Integrity / Archival Leads</t>
        </is>
      </c>
      <c r="D5" s="5" t="inlineStr">
        <is>
          <t>ORANGE — Unverified, Downgraded</t>
        </is>
      </c>
      <c r="E5" s="6" t="n">
        <v>3</v>
      </c>
      <c r="F5" s="6" t="inlineStr">
        <is>
          <t>Congressional record confirming senatorial position</t>
        </is>
      </c>
      <c r="G5" s="5" t="inlineStr">
        <is>
          <t>Memoria Política XXXVI–XXXVII Legislaturas</t>
        </is>
      </c>
      <c r="H5" s="6" t="n">
        <v>7</v>
      </c>
    </row>
    <row r="6" ht="40" customHeight="1">
      <c r="B6" s="5" t="inlineStr">
        <is>
          <t>WF-006</t>
        </is>
      </c>
      <c r="C6" s="6" t="inlineStr">
        <is>
          <t>Pipe 6 — Wells Fargo</t>
        </is>
      </c>
      <c r="D6" s="5" t="inlineStr">
        <is>
          <t>ORANGE — Plausible, Unverified</t>
        </is>
      </c>
      <c r="E6" s="6" t="n">
        <v>4</v>
      </c>
      <c r="F6" s="6" t="inlineStr">
        <is>
          <t>Formal complaint or petition document in AHES archive</t>
        </is>
      </c>
      <c r="G6" s="5" t="inlineStr">
        <is>
          <t>WF Historical Services / AHES Fondo Judicial</t>
        </is>
      </c>
      <c r="H6" s="6" t="n">
        <v>6</v>
      </c>
    </row>
    <row r="7" ht="40" customHeight="1">
      <c r="B7" s="5" t="inlineStr">
        <is>
          <t>ARCH-001</t>
        </is>
      </c>
      <c r="C7" s="6" t="inlineStr">
        <is>
          <t>Pipe 9 — Source Integrity / Archival Leads</t>
        </is>
      </c>
      <c r="D7" s="5" t="inlineStr">
        <is>
          <t>ORANGE — Archival Lead</t>
        </is>
      </c>
      <c r="E7" s="6" t="n">
        <v>4</v>
      </c>
      <c r="F7" s="6" t="inlineStr">
        <is>
          <t>Primary archival document from AHES</t>
        </is>
      </c>
      <c r="G7" s="5" t="inlineStr">
        <is>
          <t>AHES Fondo Judicial — Aviana Sagasta petitions 1912–1915</t>
        </is>
      </c>
      <c r="H7" s="6" t="n">
        <v>6</v>
      </c>
    </row>
    <row r="8" ht="40" customHeight="1">
      <c r="B8" s="5" t="inlineStr">
        <is>
          <t>GEN-005</t>
        </is>
      </c>
      <c r="C8" s="6" t="inlineStr">
        <is>
          <t>Pipe 5 — Genealogical</t>
        </is>
      </c>
      <c r="D8" s="5" t="inlineStr">
        <is>
          <t>ORANGE — Archival Lead</t>
        </is>
      </c>
      <c r="E8" s="6" t="n">
        <v>3</v>
      </c>
      <c r="F8" s="6" t="inlineStr">
        <is>
          <t>INEGI historical locality records for Bácum / La Realidad</t>
        </is>
      </c>
      <c r="G8" s="5" t="inlineStr">
        <is>
          <t>INEGI historical locality index — Bácum</t>
        </is>
      </c>
      <c r="H8" s="6" t="n">
        <v>6</v>
      </c>
    </row>
    <row r="9" ht="40" customHeight="1">
      <c r="B9" s="5" t="inlineStr">
        <is>
          <t>LAND-005</t>
        </is>
      </c>
      <c r="C9" s="6" t="inlineStr">
        <is>
          <t>Pipe 3 — Land/Property</t>
        </is>
      </c>
      <c r="D9" s="5" t="inlineStr">
        <is>
          <t>ORANGE — Archival Lead</t>
        </is>
      </c>
      <c r="E9" s="6" t="n">
        <v>4</v>
      </c>
      <c r="F9" s="6" t="inlineStr">
        <is>
          <t>AHES Notarías Libro 92 Folio 37 — Sahuaripa or Hermosillo</t>
        </is>
      </c>
      <c r="G9" s="5" t="inlineStr">
        <is>
          <t>AHES Notarías Libro 92 Folio 37</t>
        </is>
      </c>
      <c r="H9" s="6" t="n">
        <v>6</v>
      </c>
    </row>
    <row r="10" ht="40" customHeight="1">
      <c r="B10" s="5" t="inlineStr">
        <is>
          <t>ARCH-002</t>
        </is>
      </c>
      <c r="C10" s="6" t="inlineStr">
        <is>
          <t>Pipe 9 — Source Integrity / Archival Leads</t>
        </is>
      </c>
      <c r="D10" s="5" t="inlineStr">
        <is>
          <t>ORANGE — Archival Lead</t>
        </is>
      </c>
      <c r="E10" s="6" t="n">
        <v>4</v>
      </c>
      <c r="F10" s="6" t="inlineStr">
        <is>
          <t>Census padrón entry listing Aviana Sagasta</t>
        </is>
      </c>
      <c r="G10" s="5" t="inlineStr">
        <is>
          <t>AHES Padrón Municipal Hermosillo 1913–1915</t>
        </is>
      </c>
      <c r="H10" s="6" t="n">
        <v>6</v>
      </c>
    </row>
    <row r="11" ht="40" customHeight="1">
      <c r="B11" s="5" t="inlineStr">
        <is>
          <t>LAND-002</t>
        </is>
      </c>
      <c r="C11" s="6" t="inlineStr">
        <is>
          <t>Pipe 3 — Land/Property</t>
        </is>
      </c>
      <c r="D11" s="5" t="inlineStr">
        <is>
          <t>ORANGE — Partially Verified</t>
        </is>
      </c>
      <c r="E11" s="6" t="n">
        <v>5</v>
      </c>
      <c r="F11" s="6" t="inlineStr">
        <is>
          <t>AGES expediente documenting land/water dispossession</t>
        </is>
      </c>
      <c r="G11" s="5" t="inlineStr">
        <is>
          <t>AHES RPP / AGES Fomento</t>
        </is>
      </c>
      <c r="H11" s="6" t="n">
        <v>5</v>
      </c>
    </row>
    <row r="12" ht="40" customHeight="1">
      <c r="B12" s="5" t="inlineStr">
        <is>
          <t>WF-015</t>
        </is>
      </c>
      <c r="C12" s="6" t="inlineStr">
        <is>
          <t>Pipe 6 — Wells Fargo</t>
        </is>
      </c>
      <c r="D12" s="5" t="inlineStr">
        <is>
          <t>ORANGE — Archival Lead</t>
        </is>
      </c>
      <c r="E12" s="6" t="n">
        <v>4</v>
      </c>
      <c r="F12" s="6" t="inlineStr">
        <is>
          <t>WF money-order register or account record naming Aviana Sagasta</t>
        </is>
      </c>
      <c r="G12" s="5" t="inlineStr">
        <is>
          <t>WF Historical Services (TSK-004)</t>
        </is>
      </c>
      <c r="H12" s="6" t="n">
        <v>5</v>
      </c>
    </row>
    <row r="13" ht="40" customHeight="1">
      <c r="B13" s="5" t="inlineStr">
        <is>
          <t>TRADE-001</t>
        </is>
      </c>
      <c r="C13" s="6" t="inlineStr">
        <is>
          <t>Pipe 7 — Tradecraft</t>
        </is>
      </c>
      <c r="D13" s="5" t="inlineStr">
        <is>
          <t>ORANGE — Archival Lead</t>
        </is>
      </c>
      <c r="E13" s="6" t="n">
        <v>3</v>
      </c>
      <c r="F13" s="6" t="inlineStr">
        <is>
          <t>Death record confirming or denying death-story narrative</t>
        </is>
      </c>
      <c r="G13" s="5" t="inlineStr">
        <is>
          <t>CA/AZ/Sonora death records 1912–1945</t>
        </is>
      </c>
      <c r="H13" s="6" t="n">
        <v>5</v>
      </c>
    </row>
    <row r="14" ht="40" customHeight="1">
      <c r="B14" s="5" t="inlineStr">
        <is>
          <t>TRADE-002</t>
        </is>
      </c>
      <c r="C14" s="6" t="inlineStr">
        <is>
          <t>Pipe 7 — Tradecraft</t>
        </is>
      </c>
      <c r="D14" s="5" t="inlineStr">
        <is>
          <t>ORANGE — Archival Lead</t>
        </is>
      </c>
      <c r="E14" s="6" t="n">
        <v>3</v>
      </c>
      <c r="F14" s="6" t="inlineStr">
        <is>
          <t>Contemporary press (HNDM) or family legal documents mentioning gambling</t>
        </is>
      </c>
      <c r="G14" s="5" t="inlineStr">
        <is>
          <t>HNDM: Terminel + juego/deudas 1910–1920</t>
        </is>
      </c>
      <c r="H14" s="6" t="n">
        <v>5</v>
      </c>
    </row>
    <row r="15" ht="40" customHeight="1">
      <c r="B15" s="5" t="inlineStr">
        <is>
          <t>TRADE-004</t>
        </is>
      </c>
      <c r="C15" s="6" t="inlineStr">
        <is>
          <t>Pipe 7 — Tradecraft</t>
        </is>
      </c>
      <c r="D15" s="5" t="inlineStr">
        <is>
          <t>ORANGE — Archival Lead</t>
        </is>
      </c>
      <c r="E15" s="6" t="n">
        <v>3</v>
      </c>
      <c r="F15" s="6" t="inlineStr">
        <is>
          <t>California/Arizona census or death records for Francisco L. Terminel</t>
        </is>
      </c>
      <c r="G15" s="5" t="inlineStr">
        <is>
          <t>U.S. Census 1920/1930/1940 CA/AZ</t>
        </is>
      </c>
      <c r="H15" s="6" t="n">
        <v>5</v>
      </c>
    </row>
    <row r="16" ht="40" customHeight="1">
      <c r="B16" s="5" t="inlineStr">
        <is>
          <t>GEN-003</t>
        </is>
      </c>
      <c r="C16" s="6" t="inlineStr">
        <is>
          <t>Pipe 5 — Genealogical</t>
        </is>
      </c>
      <c r="D16" s="5" t="inlineStr">
        <is>
          <t>ORANGE — Archival Lead</t>
        </is>
      </c>
      <c r="E16" s="6" t="n">
        <v>3</v>
      </c>
      <c r="F16" s="6" t="inlineStr">
        <is>
          <t>NARA or FamilySearch immigration manifest for Nela Terminel</t>
        </is>
      </c>
      <c r="G16" s="5" t="inlineStr">
        <is>
          <t>FamilySearch / Ancestry.com — passenger manifests</t>
        </is>
      </c>
      <c r="H16" s="6" t="n">
        <v>5</v>
      </c>
    </row>
    <row r="17" ht="40" customHeight="1">
      <c r="B17" s="5" t="inlineStr">
        <is>
          <t>LAND-008</t>
        </is>
      </c>
      <c r="C17" s="6" t="inlineStr">
        <is>
          <t>Pipe 3 — Land/Property</t>
        </is>
      </c>
      <c r="D17" s="5" t="inlineStr">
        <is>
          <t>ORANGE — Archival Lead</t>
        </is>
      </c>
      <c r="E17" s="6" t="n">
        <v>3</v>
      </c>
      <c r="F17" s="6" t="inlineStr">
        <is>
          <t>Protocolos Notariales Sahuaripa / Hermosillo 1895–1915</t>
        </is>
      </c>
      <c r="G17" s="5" t="inlineStr">
        <is>
          <t>AHES Notarías Sahuaripa 1895–1915</t>
        </is>
      </c>
      <c r="H17" s="6" t="n">
        <v>5</v>
      </c>
    </row>
    <row r="18" ht="40" customHeight="1">
      <c r="B18" s="5" t="inlineStr">
        <is>
          <t>LAND-007</t>
        </is>
      </c>
      <c r="C18" s="6" t="inlineStr">
        <is>
          <t>Pipe 3 — Land/Property</t>
        </is>
      </c>
      <c r="D18" s="5" t="inlineStr">
        <is>
          <t>ORANGE — Partially Verified</t>
        </is>
      </c>
      <c r="E18" s="6" t="n">
        <v>5</v>
      </c>
      <c r="F18" s="6" t="inlineStr">
        <is>
          <t>Photograph, SHA-256 hash, and notarize originals</t>
        </is>
      </c>
      <c r="G18" s="5" t="inlineStr">
        <is>
          <t>Private (Gabriel T. Arce Jr.)</t>
        </is>
      </c>
      <c r="H18" s="6" t="n">
        <v>5</v>
      </c>
    </row>
    <row r="19" ht="40" customHeight="1">
      <c r="B19" s="5" t="inlineStr">
        <is>
          <t>LAND-004</t>
        </is>
      </c>
      <c r="C19" s="6" t="inlineStr">
        <is>
          <t>Pipe 3 — Land/Property</t>
        </is>
      </c>
      <c r="D19" s="5" t="inlineStr">
        <is>
          <t>ORANGE — Archival Lead</t>
        </is>
      </c>
      <c r="E19" s="6" t="n">
        <v>4</v>
      </c>
      <c r="F19" s="6" t="inlineStr">
        <is>
          <t>AHES Registro Público de la Propiedad Libro 45 Folio 12</t>
        </is>
      </c>
      <c r="G19" s="5" t="inlineStr">
        <is>
          <t>AHES RPP Libro 45 Folio 12</t>
        </is>
      </c>
      <c r="H19" s="6" t="n">
        <v>5</v>
      </c>
    </row>
    <row r="20" ht="40" customHeight="1">
      <c r="B20" s="5" t="inlineStr">
        <is>
          <t>WF-014</t>
        </is>
      </c>
      <c r="C20" s="6" t="inlineStr">
        <is>
          <t>Pipe 6 — Wells Fargo</t>
        </is>
      </c>
      <c r="D20" s="5" t="inlineStr">
        <is>
          <t>ORANGE — Archival Lead</t>
        </is>
      </c>
      <c r="E20" s="6" t="n">
        <v>5</v>
      </c>
      <c r="F20" s="6" t="inlineStr">
        <is>
          <t>Item-level search of Wiltsee Collection for Sonora/Terminel hits</t>
        </is>
      </c>
      <c r="G20" s="5" t="inlineStr">
        <is>
          <t>WF Historical Services — Wiltsee Collection</t>
        </is>
      </c>
      <c r="H20" s="6" t="n">
        <v>5</v>
      </c>
    </row>
    <row r="21" ht="40" customHeight="1">
      <c r="B21" s="5" t="inlineStr">
        <is>
          <t>GEN-006</t>
        </is>
      </c>
      <c r="C21" s="6" t="inlineStr">
        <is>
          <t>Pipe 5 — Genealogical</t>
        </is>
      </c>
      <c r="D21" s="5" t="inlineStr">
        <is>
          <t>ORANGE — Plausible, Unverified</t>
        </is>
      </c>
      <c r="E21" s="6" t="n">
        <v>3</v>
      </c>
      <c r="F21" s="6" t="inlineStr">
        <is>
          <t>Death certificate or burial record in Mexico or USA</t>
        </is>
      </c>
      <c r="G21" s="5" t="inlineStr">
        <is>
          <t>CA/AZ death records / AHES</t>
        </is>
      </c>
      <c r="H21" s="6" t="n">
        <v>5</v>
      </c>
    </row>
    <row r="22" ht="40" customHeight="1">
      <c r="B22" s="5" t="inlineStr">
        <is>
          <t>GEN-004</t>
        </is>
      </c>
      <c r="C22" s="6" t="inlineStr">
        <is>
          <t>Pipe 5 — Genealogical</t>
        </is>
      </c>
      <c r="D22" s="5" t="inlineStr">
        <is>
          <t>ORANGE — Archival Lead</t>
        </is>
      </c>
      <c r="E22" s="6" t="n">
        <v>4</v>
      </c>
      <c r="F22" s="6" t="inlineStr">
        <is>
          <t>1921 Mexican federal census — Sonora, Distrito 5</t>
        </is>
      </c>
      <c r="G22" s="5" t="inlineStr">
        <is>
          <t>AGN / INEGI 1921 census</t>
        </is>
      </c>
      <c r="H22" s="6" t="n">
        <v>5</v>
      </c>
    </row>
    <row r="23" ht="40" customHeight="1">
      <c r="B23" s="5" t="inlineStr">
        <is>
          <t>IND-001</t>
        </is>
      </c>
      <c r="C23" s="6" t="inlineStr">
        <is>
          <t>Pipe 4 — Indigenous Identity</t>
        </is>
      </c>
      <c r="D23" s="5" t="inlineStr">
        <is>
          <t>ORANGE — Analytically Strong</t>
        </is>
      </c>
      <c r="E23" s="6" t="n">
        <v>6</v>
      </c>
      <c r="F23" s="6" t="inlineStr">
        <is>
          <t>Civil/parish registration record in FamilySearch catalog</t>
        </is>
      </c>
      <c r="G23" s="5" t="inlineStr">
        <is>
          <t>FamilySearch cat. 704679 / AGN Gobernación</t>
        </is>
      </c>
      <c r="H23" s="6" t="n">
        <v>4</v>
      </c>
    </row>
    <row r="24" ht="40" customHeight="1">
      <c r="B24" s="5" t="inlineStr">
        <is>
          <t>TRADE-003</t>
        </is>
      </c>
      <c r="C24" s="6" t="inlineStr">
        <is>
          <t>Pipe 7 — Tradecraft</t>
        </is>
      </c>
      <c r="D24" s="5" t="inlineStr">
        <is>
          <t>ORANGE — Plausible, Unverified</t>
        </is>
      </c>
      <c r="E24" s="6" t="n">
        <v>3</v>
      </c>
      <c r="F24" s="6" t="inlineStr">
        <is>
          <t>Family letter, notarial power of attorney, or oral testimony confirming silence</t>
        </is>
      </c>
      <c r="G24" s="5" t="inlineStr">
        <is>
          <t>Gabriel family correspondence / POA docs</t>
        </is>
      </c>
      <c r="H24" s="6" t="n">
        <v>4</v>
      </c>
    </row>
    <row r="25" ht="40" customHeight="1">
      <c r="B25" s="5" t="inlineStr">
        <is>
          <t>GEN-002</t>
        </is>
      </c>
      <c r="C25" s="6" t="inlineStr">
        <is>
          <t>Pipe 5 — Genealogical</t>
        </is>
      </c>
      <c r="D25" s="5" t="inlineStr">
        <is>
          <t>ORANGE — Partially Verified</t>
        </is>
      </c>
      <c r="E25" s="6" t="n">
        <v>6</v>
      </c>
      <c r="F25" s="6" t="inlineStr">
        <is>
          <t>Primary archival doc from named repository</t>
        </is>
      </c>
      <c r="G25" s="5" t="inlineStr">
        <is>
          <t>Panteón Municipal SJ / FindAGrave #2740823</t>
        </is>
      </c>
      <c r="H25" s="6" t="n">
        <v>4</v>
      </c>
    </row>
    <row r="26" ht="40" customHeight="1">
      <c r="B26" s="5" t="inlineStr">
        <is>
          <t>LAND-003</t>
        </is>
      </c>
      <c r="C26" s="6" t="inlineStr">
        <is>
          <t>Pipe 3 — Land/Property</t>
        </is>
      </c>
      <c r="D26" s="5" t="inlineStr">
        <is>
          <t>ORANGE — Plausible, Unverified</t>
        </is>
      </c>
      <c r="E26" s="6" t="n">
        <v>6</v>
      </c>
      <c r="F26" s="6" t="inlineStr">
        <is>
          <t>AGES Ejido-Dotaciones San Javier expediente</t>
        </is>
      </c>
      <c r="G26" s="5" t="inlineStr">
        <is>
          <t>AGES Ejido-Dotaciones — San Javier</t>
        </is>
      </c>
      <c r="H26" s="6" t="n">
        <v>4</v>
      </c>
    </row>
    <row r="27" ht="40" customHeight="1">
      <c r="B27" s="5" t="inlineStr">
        <is>
          <t>LAND-006</t>
        </is>
      </c>
      <c r="C27" s="6" t="inlineStr">
        <is>
          <t>Pipe 3 — Land/Property</t>
        </is>
      </c>
      <c r="D27" s="5" t="inlineStr">
        <is>
          <t>ORANGE — Partially Verified</t>
        </is>
      </c>
      <c r="E27" s="6" t="n">
        <v>6</v>
      </c>
      <c r="F27" s="6" t="inlineStr">
        <is>
          <t>Full AGES 411.123/2174 expediente text</t>
        </is>
      </c>
      <c r="G27" s="5" t="inlineStr">
        <is>
          <t>AGES 411.123/2174 full text</t>
        </is>
      </c>
      <c r="H27" s="6" t="n">
        <v>4</v>
      </c>
    </row>
    <row r="28" ht="40" customHeight="1">
      <c r="B28" s="5" t="inlineStr">
        <is>
          <t>LAND-009</t>
        </is>
      </c>
      <c r="C28" s="6" t="inlineStr">
        <is>
          <t>Pipe 3 — Land/Property</t>
        </is>
      </c>
      <c r="D28" s="5" t="inlineStr">
        <is>
          <t>ORANGE — Plausible, Unverified</t>
        </is>
      </c>
      <c r="E28" s="6" t="n">
        <v>5</v>
      </c>
      <c r="F28" s="6" t="inlineStr">
        <is>
          <t>AGES Ejido-Dotaciones — San Javier municipality expediente</t>
        </is>
      </c>
      <c r="G28" s="5" t="inlineStr">
        <is>
          <t>AGES Ejido-Dotaciones San Javier</t>
        </is>
      </c>
      <c r="H28" s="6" t="n">
        <v>4</v>
      </c>
    </row>
    <row r="29" ht="40" customHeight="1">
      <c r="B29" s="5" t="inlineStr">
        <is>
          <t>LEGAL-002</t>
        </is>
      </c>
      <c r="C29" s="6" t="inlineStr">
        <is>
          <t>Pipe 8 — Legal</t>
        </is>
      </c>
      <c r="D29" s="5" t="inlineStr">
        <is>
          <t>ORANGE — Analytically Strong</t>
        </is>
      </c>
      <c r="E29" s="6" t="n">
        <v>6</v>
      </c>
      <c r="F29" s="6" t="inlineStr">
        <is>
          <t>Primary deed documents + legal opinion on Article 2163 applicability</t>
        </is>
      </c>
      <c r="G29" s="5" t="inlineStr">
        <is>
          <t>AHES Notarías + legal opinion Article 2163</t>
        </is>
      </c>
      <c r="H29" s="6" t="n">
        <v>4</v>
      </c>
    </row>
    <row r="30" ht="40" customHeight="1">
      <c r="B30" s="5" t="inlineStr">
        <is>
          <t>WF-011</t>
        </is>
      </c>
      <c r="C30" s="6" t="inlineStr">
        <is>
          <t>Pipe 6 — Wells Fargo</t>
        </is>
      </c>
      <c r="D30" s="5" t="inlineStr">
        <is>
          <t>ORANGE — Archival Lead</t>
        </is>
      </c>
      <c r="E30" s="6" t="n">
        <v>3</v>
      </c>
      <c r="F30" s="6" t="inlineStr">
        <is>
          <t>Huntington Library finding aid for Parsons papers</t>
        </is>
      </c>
      <c r="G30" s="5" t="inlineStr">
        <is>
          <t>Huntington Library — Parsons papers</t>
        </is>
      </c>
      <c r="H30" s="6" t="n">
        <v>4</v>
      </c>
    </row>
    <row r="31" ht="40" customHeight="1">
      <c r="B31" s="5" t="inlineStr">
        <is>
          <t>WF-012</t>
        </is>
      </c>
      <c r="C31" s="6" t="inlineStr">
        <is>
          <t>Pipe 6 — Wells Fargo</t>
        </is>
      </c>
      <c r="D31" s="5" t="inlineStr">
        <is>
          <t>ORANGE — Archival Lead</t>
        </is>
      </c>
      <c r="E31" s="6" t="n">
        <v>3</v>
      </c>
      <c r="F31" s="6" t="inlineStr">
        <is>
          <t>OHS finding aid for WF Express materials</t>
        </is>
      </c>
      <c r="G31" s="5" t="inlineStr">
        <is>
          <t>Oregon Historical Society</t>
        </is>
      </c>
      <c r="H31" s="6" t="n">
        <v>4</v>
      </c>
    </row>
    <row r="32" ht="40" customHeight="1">
      <c r="B32" s="5" t="inlineStr">
        <is>
          <t>IND-004</t>
        </is>
      </c>
      <c r="C32" s="6" t="inlineStr">
        <is>
          <t>Pipe 4 — Indigenous Identity</t>
        </is>
      </c>
      <c r="D32" s="5" t="inlineStr">
        <is>
          <t>ORANGE — Analytically Strong</t>
        </is>
      </c>
      <c r="E32" s="6" t="n">
        <v>6</v>
      </c>
      <c r="F32" s="6" t="inlineStr">
        <is>
          <t>Parish baptism notation or census classification confirming identity</t>
        </is>
      </c>
      <c r="G32" s="5" t="inlineStr">
        <is>
          <t>FamilySearch cat. 704679 parish records</t>
        </is>
      </c>
      <c r="H32" s="6" t="n">
        <v>4</v>
      </c>
    </row>
    <row r="33" ht="40" customHeight="1">
      <c r="B33" s="5" t="inlineStr">
        <is>
          <t>GEN-001</t>
        </is>
      </c>
      <c r="C33" s="6" t="inlineStr">
        <is>
          <t>Pipe 5 — Genealogical</t>
        </is>
      </c>
      <c r="D33" s="5" t="inlineStr">
        <is>
          <t>ORANGE — Partially Verified</t>
        </is>
      </c>
      <c r="E33" s="6" t="n">
        <v>7</v>
      </c>
      <c r="F33" s="6" t="inlineStr">
        <is>
          <t>Civil/parish registration record in FamilySearch catalog</t>
        </is>
      </c>
      <c r="G33" s="5" t="inlineStr">
        <is>
          <t>FamilySearch cat. 704679</t>
        </is>
      </c>
      <c r="H33" s="6" t="n">
        <v>3</v>
      </c>
    </row>
    <row r="34" ht="40" customHeight="1">
      <c r="B34" s="5" t="inlineStr">
        <is>
          <t>WF-013</t>
        </is>
      </c>
      <c r="C34" s="6" t="inlineStr">
        <is>
          <t>Pipe 6 — Wells Fargo</t>
        </is>
      </c>
      <c r="D34" s="5" t="inlineStr">
        <is>
          <t>ORANGE — Plausible, Unverified</t>
        </is>
      </c>
      <c r="E34" s="6" t="n">
        <v>4</v>
      </c>
      <c r="F34" s="6" t="inlineStr">
        <is>
          <t>WF official corporate statement on indigenous peoples</t>
        </is>
      </c>
      <c r="G34" s="5" t="inlineStr">
        <is>
          <t>wellsfargo.com ESRM / CSR statement</t>
        </is>
      </c>
      <c r="H34" s="6" t="n">
        <v>3</v>
      </c>
    </row>
    <row r="35" ht="40" customHeight="1">
      <c r="B35" s="5" t="inlineStr">
        <is>
          <t>DNA-003</t>
        </is>
      </c>
      <c r="C35" s="6" t="inlineStr">
        <is>
          <t>Pipe 4 — Indigenous Identity</t>
        </is>
      </c>
      <c r="D35" s="5" t="inlineStr">
        <is>
          <t>ORANGE — Analytically Strong</t>
        </is>
      </c>
      <c r="E35" s="6" t="n">
        <v>7</v>
      </c>
      <c r="F35" s="6" t="inlineStr">
        <is>
          <t>Peer-reviewed haplogroup geographic distribution study</t>
        </is>
      </c>
      <c r="G35" s="5" t="inlineStr">
        <is>
          <t>Peer-reviewed haplogroup distribution studies</t>
        </is>
      </c>
      <c r="H35" s="6" t="n">
        <v>3</v>
      </c>
    </row>
    <row r="36" ht="40" customHeight="1">
      <c r="B36" s="5" t="inlineStr">
        <is>
          <t>LEGAL-003</t>
        </is>
      </c>
      <c r="C36" s="6" t="inlineStr">
        <is>
          <t>Pipe 8 — Legal</t>
        </is>
      </c>
      <c r="D36" s="5" t="inlineStr">
        <is>
          <t>ORANGE — Partially Verified</t>
        </is>
      </c>
      <c r="E36" s="6" t="n">
        <v>6</v>
      </c>
      <c r="F36" s="6" t="inlineStr">
        <is>
          <t>Constitutional provision + AHES land records showing titling strategy</t>
        </is>
      </c>
      <c r="G36" s="5" t="inlineStr">
        <is>
          <t>Constitutional law review — Calvo Clause</t>
        </is>
      </c>
      <c r="H36" s="6" t="n">
        <v>3</v>
      </c>
    </row>
    <row r="37" ht="40" customHeight="1">
      <c r="B37" s="5" t="inlineStr">
        <is>
          <t>GEN-007</t>
        </is>
      </c>
      <c r="C37" s="6" t="inlineStr">
        <is>
          <t>Pipe 5 — Genealogical</t>
        </is>
      </c>
      <c r="D37" s="5" t="inlineStr">
        <is>
          <t>ORANGE — Partially Verified</t>
        </is>
      </c>
      <c r="E37" s="6" t="n">
        <v>7</v>
      </c>
      <c r="F37" s="6" t="inlineStr">
        <is>
          <t>Manual browse of FamilySearch catalog 704681 for Terminel/Sagasta</t>
        </is>
      </c>
      <c r="G37" s="5" t="inlineStr">
        <is>
          <t>FamilySearch catalog 704681 (TSK-001)</t>
        </is>
      </c>
      <c r="H37" s="6" t="n">
        <v>3</v>
      </c>
    </row>
    <row r="38" ht="40" customHeight="1">
      <c r="B38" s="5" t="inlineStr">
        <is>
          <t>LEGAL-006</t>
        </is>
      </c>
      <c r="C38" s="6" t="inlineStr">
        <is>
          <t>Pipe 8 — Legal</t>
        </is>
      </c>
      <c r="D38" s="5" t="inlineStr">
        <is>
          <t>ORANGE — Plausible, Unverified</t>
        </is>
      </c>
      <c r="E38" s="6" t="n">
        <v>4</v>
      </c>
      <c r="F38" s="6" t="inlineStr">
        <is>
          <t>Lloyd's formal apology and methodology document</t>
        </is>
      </c>
      <c r="G38" s="5" t="inlineStr">
        <is>
          <t>Lloyd's 2020 corporate statement</t>
        </is>
      </c>
      <c r="H38" s="6" t="n">
        <v>3</v>
      </c>
    </row>
    <row r="39" ht="40" customHeight="1">
      <c r="B39" s="5" t="inlineStr">
        <is>
          <t>POL-005</t>
        </is>
      </c>
      <c r="C39" s="6" t="inlineStr">
        <is>
          <t>Pipe 2 — Political</t>
        </is>
      </c>
      <c r="D39" s="5" t="inlineStr">
        <is>
          <t>ORANGE — Partially Verified</t>
        </is>
      </c>
      <c r="E39" s="6" t="n">
        <v>7</v>
      </c>
      <c r="F39" s="6" t="inlineStr">
        <is>
          <t>Confirm role via Diario de Debates Dec 1935</t>
        </is>
      </c>
      <c r="G39" s="5" t="inlineStr">
        <is>
          <t>Memoria Política</t>
        </is>
      </c>
      <c r="H39" s="6" t="n">
        <v>2</v>
      </c>
    </row>
    <row r="40" ht="40" customHeight="1">
      <c r="B40" s="5" t="inlineStr">
        <is>
          <t>POL-008</t>
        </is>
      </c>
      <c r="C40" s="6" t="inlineStr">
        <is>
          <t>Pipe 2 — Political</t>
        </is>
      </c>
      <c r="D40" s="5" t="inlineStr">
        <is>
          <t>ORANGE — Partially Verified</t>
        </is>
      </c>
      <c r="E40" s="6" t="n">
        <v>7</v>
      </c>
      <c r="F40" s="6" t="inlineStr">
        <is>
          <t>Confirm names via INEHRM or HNDM April 1936 press</t>
        </is>
      </c>
      <c r="G40" s="5" t="inlineStr">
        <is>
          <t>HNDM: Excélsior Apr 1936</t>
        </is>
      </c>
      <c r="H40" s="6" t="n">
        <v>2</v>
      </c>
    </row>
    <row r="41" ht="40" customHeight="1">
      <c r="B41" s="5" t="inlineStr">
        <is>
          <t>POL-006</t>
        </is>
      </c>
      <c r="C41" s="6" t="inlineStr">
        <is>
          <t>Pipe 2 — Political</t>
        </is>
      </c>
      <c r="D41" s="5" t="inlineStr">
        <is>
          <t>ORANGE — Partially Verified</t>
        </is>
      </c>
      <c r="E41" s="6" t="n">
        <v>7</v>
      </c>
      <c r="F41" s="6" t="inlineStr">
        <is>
          <t>Confirm role via Diario de Debates Dec 1935</t>
        </is>
      </c>
      <c r="G41" s="5" t="inlineStr">
        <is>
          <t>Memoria Política</t>
        </is>
      </c>
      <c r="H41" s="6" t="n">
        <v>2</v>
      </c>
    </row>
    <row r="42" ht="40" customHeight="1">
      <c r="B42" s="5" t="inlineStr">
        <is>
          <t>POL-007</t>
        </is>
      </c>
      <c r="C42" s="6" t="inlineStr">
        <is>
          <t>Pipe 2 — Political</t>
        </is>
      </c>
      <c r="D42" s="5" t="inlineStr">
        <is>
          <t>ORANGE — Partially Verified</t>
        </is>
      </c>
      <c r="E42" s="6" t="n">
        <v>7</v>
      </c>
      <c r="F42" s="6" t="inlineStr">
        <is>
          <t>Confirm role via Diario de Debates Dec 1935</t>
        </is>
      </c>
      <c r="G42" s="5" t="inlineStr">
        <is>
          <t>Memoria Política</t>
        </is>
      </c>
      <c r="H42" s="6" t="n">
        <v>2</v>
      </c>
    </row>
    <row r="43" ht="40" customHeight="1">
      <c r="B43" s="5" t="inlineStr">
        <is>
          <t>POL-004</t>
        </is>
      </c>
      <c r="C43" s="6" t="inlineStr">
        <is>
          <t>Pipe 2 — Political</t>
        </is>
      </c>
      <c r="D43" s="5" t="inlineStr">
        <is>
          <t>ORANGE — Partially Verified</t>
        </is>
      </c>
      <c r="E43" s="6" t="n">
        <v>7</v>
      </c>
      <c r="F43" s="6" t="inlineStr">
        <is>
          <t>Confirm role in desafuero via Diario de Debates Dec 1935</t>
        </is>
      </c>
      <c r="G43" s="5" t="inlineStr">
        <is>
          <t>INEHRM / Memoria Política</t>
        </is>
      </c>
      <c r="H43" s="6" t="n">
        <v>2</v>
      </c>
    </row>
  </sheetData>
  <mergeCells count="1"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10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0" customWidth="1" min="3" max="3"/>
    <col width="55" customWidth="1" min="4" max="4"/>
    <col width="20" customWidth="1" min="5" max="5"/>
    <col width="12" customWidth="1" min="6" max="6"/>
    <col width="65" customWidth="1" min="7" max="7"/>
  </cols>
  <sheetData>
    <row r="2" ht="28" customHeight="1">
      <c r="B2" s="26" t="inlineStr">
        <is>
          <t>⚠ QUARANTINE REGISTER — Confirmed Fabrications &amp; Disconfirmed Claims</t>
        </is>
      </c>
    </row>
    <row r="4" ht="30" customHeight="1">
      <c r="B4" s="27" t="inlineStr">
        <is>
          <t>Claim ID</t>
        </is>
      </c>
      <c r="C4" s="27" t="inlineStr">
        <is>
          <t>Pipe</t>
        </is>
      </c>
      <c r="D4" s="27" t="inlineStr">
        <is>
          <t>Claim Text</t>
        </is>
      </c>
      <c r="E4" s="27" t="inlineStr">
        <is>
          <t>Status</t>
        </is>
      </c>
      <c r="F4" s="27" t="inlineStr">
        <is>
          <t>Contamination</t>
        </is>
      </c>
      <c r="G4" s="27" t="inlineStr">
        <is>
          <t>Why Quarantined</t>
        </is>
      </c>
    </row>
    <row r="5" ht="45" customHeight="1">
      <c r="B5" s="28" t="inlineStr">
        <is>
          <t>WF-007</t>
        </is>
      </c>
      <c r="C5" s="28" t="inlineStr">
        <is>
          <t>Pipe 6 — Wells Fargo</t>
        </is>
      </c>
      <c r="D5" s="29" t="inlineStr">
        <is>
          <t>All prior WF transaction IDs (NOG-1900-0117-001 etc.), named employees (Peterson, Hughes, Harrington, Wilson) — AI-fabricated</t>
        </is>
      </c>
      <c r="E5" s="28" t="inlineStr">
        <is>
          <t>RED — QUARANTINED</t>
        </is>
      </c>
      <c r="F5" s="28" t="n">
        <v>10</v>
      </c>
      <c r="G5" s="29" t="inlineStr">
        <is>
          <t>N/A — confirmed fabrication</t>
        </is>
      </c>
    </row>
    <row r="6" ht="45" customHeight="1">
      <c r="B6" s="28" t="inlineStr">
        <is>
          <t>WF-008</t>
        </is>
      </c>
      <c r="C6" s="28" t="inlineStr">
        <is>
          <t>Pipe 6 — Wells Fargo</t>
        </is>
      </c>
      <c r="D6" s="29" t="inlineStr">
        <is>
          <t>Restitution document WF-RPA-2025-ASD-001 with T.H. Whitford signature and $639,187,500 USD — AI-generated fiction</t>
        </is>
      </c>
      <c r="E6" s="28" t="inlineStr">
        <is>
          <t>RED — QUARANTINED</t>
        </is>
      </c>
      <c r="F6" s="28" t="n">
        <v>10</v>
      </c>
      <c r="G6" s="29" t="inlineStr">
        <is>
          <t>N/A — confirmed fabrication</t>
        </is>
      </c>
    </row>
    <row r="7" ht="45" customHeight="1">
      <c r="B7" s="28" t="inlineStr">
        <is>
          <t>ARCH-003</t>
        </is>
      </c>
      <c r="C7" s="28" t="inlineStr">
        <is>
          <t>Pipe 9 — Source Integrity / Archival Leads</t>
        </is>
      </c>
      <c r="D7" s="29" t="inlineStr">
        <is>
          <t>Francisco Terminel co-founded Banco Agrícola Sonorense in 1933</t>
        </is>
      </c>
      <c r="E7" s="28" t="inlineStr">
        <is>
          <t>RED — DISCONFIRMED</t>
        </is>
      </c>
      <c r="F7" s="28" t="n">
        <v>10</v>
      </c>
      <c r="G7" s="29" t="inlineStr">
        <is>
          <t>N/A — disconfirmed by Grijalva Díaz 2024</t>
        </is>
      </c>
    </row>
    <row r="8" ht="45" customHeight="1">
      <c r="B8" s="28" t="inlineStr">
        <is>
          <t>AUDIT-002</t>
        </is>
      </c>
      <c r="C8" s="28" t="inlineStr">
        <is>
          <t>Pipe 9 — Source Integrity / Archival Leads</t>
        </is>
      </c>
      <c r="D8" s="29" t="inlineStr">
        <is>
          <t>Celso López phantom citation: 'Celso López, Sahuaripa historian, 1987' — AI-fabricated authority, no record found in UNISON or COLSON</t>
        </is>
      </c>
      <c r="E8" s="28" t="inlineStr">
        <is>
          <t>RED — DISCONFIRMED</t>
        </is>
      </c>
      <c r="F8" s="28" t="n">
        <v>10</v>
      </c>
      <c r="G8" s="29" t="inlineStr">
        <is>
          <t>No record in UNISON, COLSON, or HNDM; confirmed AI invention</t>
        </is>
      </c>
    </row>
    <row r="9" ht="45" customHeight="1">
      <c r="B9" s="28" t="inlineStr">
        <is>
          <t>AUDIT-004</t>
        </is>
      </c>
      <c r="C9" s="28" t="inlineStr">
        <is>
          <t>Pipe 9 — Source Integrity / Archival Leads</t>
        </is>
      </c>
      <c r="D9" s="29" t="inlineStr">
        <is>
          <t>WF employee names (Peterson, Hughes, Harrington, Wilson) confirmed AI-fabricated — no WF archive uses period transaction ID format (e.g. NOG-1900-0117-001)</t>
        </is>
      </c>
      <c r="E9" s="28" t="inlineStr">
        <is>
          <t>RED — DISCONFIRMED</t>
        </is>
      </c>
      <c r="F9" s="28" t="n">
        <v>10</v>
      </c>
      <c r="G9" s="29" t="inlineStr">
        <is>
          <t>Confirmed by WF institutional historian Bob Chandler citation</t>
        </is>
      </c>
    </row>
    <row r="10" ht="45" customHeight="1">
      <c r="B10" s="28" t="inlineStr">
        <is>
          <t>AUDIT-005</t>
        </is>
      </c>
      <c r="C10" s="28" t="inlineStr">
        <is>
          <t>Pipe 9 — Source Integrity / Archival Leads</t>
        </is>
      </c>
      <c r="D10" s="29" t="inlineStr">
        <is>
          <t>$639,187,500 restitution figure (WF-RPA-2025-ASD-001) — AI-calculated; no primary source; not a real WF document</t>
        </is>
      </c>
      <c r="E10" s="28" t="inlineStr">
        <is>
          <t>RED — QUARANTINED</t>
        </is>
      </c>
      <c r="F10" s="28" t="n">
        <v>10</v>
      </c>
      <c r="G10" s="29" t="inlineStr">
        <is>
          <t>No primary source; confirmed AI synthesis</t>
        </is>
      </c>
    </row>
  </sheetData>
  <mergeCells count="1">
    <mergeCell ref="B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13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20" customWidth="1" min="4" max="4"/>
    <col width="70" customWidth="1" min="5" max="5"/>
    <col width="30" customWidth="1" min="6" max="6"/>
    <col width="60" customWidth="1" min="7" max="7"/>
  </cols>
  <sheetData>
    <row r="2" ht="28" customHeight="1">
      <c r="B2" s="1" t="inlineStr">
        <is>
          <t>NINE-PIPE ARCHITECTURE — Reference Card</t>
        </is>
      </c>
    </row>
    <row r="4" ht="30" customHeight="1">
      <c r="B4" s="3" t="inlineStr">
        <is>
          <t>Pipe</t>
        </is>
      </c>
      <c r="C4" s="3" t="inlineStr">
        <is>
          <t>Code</t>
        </is>
      </c>
      <c r="D4" s="3" t="inlineStr">
        <is>
          <t>Name</t>
        </is>
      </c>
      <c r="E4" s="3" t="inlineStr">
        <is>
          <t>Key Claims</t>
        </is>
      </c>
      <c r="F4" s="3" t="inlineStr">
        <is>
          <t>Current Status</t>
        </is>
      </c>
      <c r="G4" s="3" t="inlineStr">
        <is>
          <t>Immediate Action</t>
        </is>
      </c>
    </row>
    <row r="5" ht="55" customHeight="1">
      <c r="B5" s="30" t="inlineStr">
        <is>
          <t>Pipe 1</t>
        </is>
      </c>
      <c r="C5" s="6" t="inlineStr">
        <is>
          <t>GEO + MIN</t>
        </is>
      </c>
      <c r="D5" s="6" t="inlineStr">
        <is>
          <t>Geographic &amp; Mining</t>
        </is>
      </c>
      <c r="E5" s="6" t="inlineStr">
        <is>
          <t>San Javier INEGI 260541; SGM 2006; Porchas concessions</t>
        </is>
      </c>
      <c r="F5" s="6" t="inlineStr">
        <is>
          <t>COMPLETE — all claims GREEN</t>
        </is>
      </c>
      <c r="G5" s="6" t="inlineStr">
        <is>
          <t>None</t>
        </is>
      </c>
    </row>
    <row r="6" ht="55" customHeight="1">
      <c r="B6" s="31" t="inlineStr">
        <is>
          <t>Pipe 2</t>
        </is>
      </c>
      <c r="C6" s="6" t="inlineStr">
        <is>
          <t>POL</t>
        </is>
      </c>
      <c r="D6" s="6" t="inlineStr">
        <is>
          <t>Political</t>
        </is>
      </c>
      <c r="E6" s="6" t="inlineStr">
        <is>
          <t>Desafuero Dec 14 1935; 5 co-desaforados; Calles exile Apr 9 1936; Maximato timeline</t>
        </is>
      </c>
      <c r="F6" s="6" t="inlineStr">
        <is>
          <t>SUBSTANTIALLY VERIFIED</t>
        </is>
      </c>
      <c r="G6" s="6" t="inlineStr">
        <is>
          <t>Add POL-004–010 to Memoria Política search</t>
        </is>
      </c>
    </row>
    <row r="7" ht="55" customHeight="1">
      <c r="B7" s="32" t="inlineStr">
        <is>
          <t>Pipe 3</t>
        </is>
      </c>
      <c r="C7" s="6" t="inlineStr">
        <is>
          <t>LAND</t>
        </is>
      </c>
      <c r="D7" s="6" t="inlineStr">
        <is>
          <t>Land &amp; Property</t>
        </is>
      </c>
      <c r="E7" s="6" t="inlineStr">
        <is>
          <t>1892 deed Libro 45 F12; 1907 'one peso' escritura Libro 92 F37; Bacobampo 453 ha; Gabriel deeds</t>
        </is>
      </c>
      <c r="F7" s="6" t="inlineStr">
        <is>
          <t>PARTIALLY VERIFIED</t>
        </is>
      </c>
      <c r="G7" s="6" t="inlineStr">
        <is>
          <t>AGES + AHES request; photograph Gabriel deeds (URGENT)</t>
        </is>
      </c>
    </row>
    <row r="8" ht="55" customHeight="1">
      <c r="B8" s="30" t="inlineStr">
        <is>
          <t>Pipe 4</t>
        </is>
      </c>
      <c r="C8" s="6" t="inlineStr">
        <is>
          <t>IND + DNA</t>
        </is>
      </c>
      <c r="D8" s="6" t="inlineStr">
        <is>
          <t>Indigenous Identity</t>
        </is>
      </c>
      <c r="E8" s="6" t="inlineStr">
        <is>
          <t>Névome Pima Bajo 50–65%; geographic correction Centro Costa; Yaqui deportation pipeline; IACHR 2023</t>
        </is>
      </c>
      <c r="F8" s="6" t="inlineStr">
        <is>
          <t>ANALYTICALLY STRONG</t>
        </is>
      </c>
      <c r="G8" s="6" t="inlineStr">
        <is>
          <t>FamilySearch parish browse; haplogroup B2 citation</t>
        </is>
      </c>
    </row>
    <row r="9" ht="55" customHeight="1">
      <c r="B9" s="33" t="inlineStr">
        <is>
          <t>Pipe 5</t>
        </is>
      </c>
      <c r="C9" s="6" t="inlineStr">
        <is>
          <t>GEN</t>
        </is>
      </c>
      <c r="D9" s="6" t="inlineStr">
        <is>
          <t>Genealogical</t>
        </is>
      </c>
      <c r="E9" s="6" t="inlineStr">
        <is>
          <t>Nela born San Javier 1910; Porchas graves; 1952 LA manifest lead; 1920 census lead; Francisco death open</t>
        </is>
      </c>
      <c r="F9" s="6" t="inlineStr">
        <is>
          <t>PARTIALLY VERIFIED</t>
        </is>
      </c>
      <c r="G9" s="6" t="inlineStr">
        <is>
          <t>FamilySearch civil + parish browse; NARA passenger manifests</t>
        </is>
      </c>
    </row>
    <row r="10" ht="55" customHeight="1">
      <c r="B10" s="34" t="inlineStr">
        <is>
          <t>Pipe 6</t>
        </is>
      </c>
      <c r="C10" s="6" t="inlineStr">
        <is>
          <t>WF</t>
        </is>
      </c>
      <c r="D10" s="6" t="inlineStr">
        <is>
          <t>Wells Fargo</t>
        </is>
      </c>
      <c r="E10" s="6" t="inlineStr">
        <is>
          <t>Corporate history verified; 1905 split; 1918 U.S.-only nationalization; Wiltsee Collection; Aviana-as-recipient</t>
        </is>
      </c>
      <c r="F10" s="6" t="inlineStr">
        <is>
          <t>CORPORATE HISTORY VERIFIED</t>
        </is>
      </c>
      <c r="G10" s="6" t="inlineStr">
        <is>
          <t>WF Historical Services inquiry (TSK-004); Huntington + OHS requests</t>
        </is>
      </c>
    </row>
    <row r="11" ht="55" customHeight="1">
      <c r="B11" s="30" t="inlineStr">
        <is>
          <t>Pipe 7</t>
        </is>
      </c>
      <c r="C11" s="6" t="inlineStr">
        <is>
          <t>TRADE</t>
        </is>
      </c>
      <c r="D11" s="6" t="inlineStr">
        <is>
          <t>Tradecraft</t>
        </is>
      </c>
      <c r="E11" s="6" t="inlineStr">
        <is>
          <t>Death-story; 'gambling' cover; brothers' silence; dual-family hypothesis; San Diego geographic anchoring</t>
        </is>
      </c>
      <c r="F11" s="6" t="inlineStr">
        <is>
          <t>ORAL HISTORY LEADS</t>
        </is>
      </c>
      <c r="G11" s="6" t="inlineStr">
        <is>
          <t>HNDM searches; CA/AZ census and death records</t>
        </is>
      </c>
    </row>
    <row r="12" ht="55" customHeight="1">
      <c r="B12" s="35" t="inlineStr">
        <is>
          <t>Pipe 8</t>
        </is>
      </c>
      <c r="C12" s="6" t="inlineStr">
        <is>
          <t>LEGAL</t>
        </is>
      </c>
      <c r="D12" s="6" t="inlineStr">
        <is>
          <t>Legal Frameworks</t>
        </is>
      </c>
      <c r="E12" s="6" t="inlineStr">
        <is>
          <t>UNDRIP + ILO 169 + IACHR 2023; Article 2163 fraudulent conveyance; Calvo Clause; Lloyd's 2020</t>
        </is>
      </c>
      <c r="F12" s="6" t="inlineStr">
        <is>
          <t>FRAMEWORKS VERIFIED</t>
        </is>
      </c>
      <c r="G12" s="6" t="inlineStr">
        <is>
          <t>Commission Article 2163 legal opinion; retrieve Lloyd's statement</t>
        </is>
      </c>
    </row>
    <row r="13" ht="55" customHeight="1">
      <c r="B13" s="30" t="inlineStr">
        <is>
          <t>Pipe 9</t>
        </is>
      </c>
      <c r="C13" s="6" t="inlineStr">
        <is>
          <t>ARCH + AUDIT</t>
        </is>
      </c>
      <c r="D13" s="6" t="inlineStr">
        <is>
          <t>Source Integrity</t>
        </is>
      </c>
      <c r="E13" s="6" t="inlineStr">
        <is>
          <t>27 AI confabulations quarantined; Celso López phantom; cow principle; WF fabrications quarantined</t>
        </is>
      </c>
      <c r="F13" s="6" t="inlineStr">
        <is>
          <t>AUDIT COMPLETE</t>
        </is>
      </c>
      <c r="G13" s="6" t="inlineStr">
        <is>
          <t>All RED claims formally closed; cow principle retained</t>
        </is>
      </c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2026-05-20T08:52:00Z</dcterms:created>
  <dcterms:modified xmlns:dcterms="http://purl.org/dc/terms/" xmlns:xsi="http://www.w3.org/2001/XMLSchema-instance" xsi:type="dcterms:W3CDTF">2026-05-20T08:52:01Z</dcterms:modified>
</cp:coreProperties>
</file>